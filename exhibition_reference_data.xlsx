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laude\exhibition-report-generator\"/>
    </mc:Choice>
  </mc:AlternateContent>
  <bookViews>
    <workbookView xWindow="0" yWindow="0" windowWidth="28800" windowHeight="12165"/>
  </bookViews>
  <sheets>
    <sheet name="레퍼런스 데이터" sheetId="1" r:id="rId1"/>
    <sheet name="범례" sheetId="2" r:id="rId2"/>
  </sheets>
  <calcPr calcId="162913"/>
</workbook>
</file>

<file path=xl/calcChain.xml><?xml version="1.0" encoding="utf-8"?>
<calcChain xmlns="http://schemas.openxmlformats.org/spreadsheetml/2006/main">
  <c r="AK20" i="1" l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</calcChain>
</file>

<file path=xl/comments1.xml><?xml version="1.0" encoding="utf-8"?>
<comments xmlns="http://schemas.openxmlformats.org/spreadsheetml/2006/main">
  <authors>
    <author>user</author>
  </authors>
  <commentList>
    <comment ref="AC2" authorId="0" shapeId="0">
      <text>
        <r>
          <rPr>
            <sz val="11"/>
            <color theme="1"/>
            <rFont val="맑은 고딕"/>
            <family val="2"/>
            <scheme val="minor"/>
          </rPr>
          <t>user:
별도의 50+문화시설지원단을 부르던 말로 봉사자 개념이기 대문에 [지원단 수] 항목은 삭제하고 [봉사자 수] 통합</t>
        </r>
      </text>
    </comment>
    <comment ref="Y3" authorId="0" shapeId="0">
      <text>
        <r>
          <rPr>
            <sz val="11"/>
            <color theme="1"/>
            <rFont val="맑은 고딕"/>
            <family val="2"/>
            <scheme val="minor"/>
          </rPr>
          <t>user:
미술주간 무료 입장이 있어 특별 입장 수 파악에 정확도가 떨어져서 미기재</t>
        </r>
      </text>
    </comment>
    <comment ref="T5" authorId="0" shapeId="0">
      <text>
        <r>
          <rPr>
            <sz val="11"/>
            <color theme="1"/>
            <rFont val="맑은 고딕"/>
            <family val="2"/>
            <scheme val="minor"/>
          </rPr>
          <t>user:
비율 계산의 문제</t>
        </r>
      </text>
    </comment>
    <comment ref="AK10" authorId="0" shapeId="0">
      <text>
        <r>
          <rPr>
            <sz val="11"/>
            <color theme="1"/>
            <rFont val="맑은 고딕"/>
            <family val="2"/>
            <scheme val="minor"/>
          </rPr>
          <t>user:
작품 리스트가 없음</t>
        </r>
      </text>
    </comment>
    <comment ref="AJ12" authorId="0" shapeId="0">
      <text>
        <r>
          <rPr>
            <sz val="11"/>
            <color theme="1"/>
            <rFont val="맑은 고딕"/>
            <family val="2"/>
            <scheme val="minor"/>
          </rPr>
          <t>user:
기자간담회 참석인원(12명)으로 잘못 기재</t>
        </r>
      </text>
    </comment>
  </commentList>
</comments>
</file>

<file path=xl/sharedStrings.xml><?xml version="1.0" encoding="utf-8"?>
<sst xmlns="http://schemas.openxmlformats.org/spreadsheetml/2006/main" count="361" uniqueCount="166">
  <si>
    <t>기본 정보</t>
  </si>
  <si>
    <t>예산</t>
  </si>
  <si>
    <t>수입</t>
  </si>
  <si>
    <t>관객</t>
  </si>
  <si>
    <t>운영 인력</t>
  </si>
  <si>
    <t>프로그램</t>
  </si>
  <si>
    <t>출품 작품</t>
  </si>
  <si>
    <t>홍보/언론</t>
  </si>
  <si>
    <t>멤버십</t>
  </si>
  <si>
    <t>No.</t>
  </si>
  <si>
    <t>전시 제목</t>
  </si>
  <si>
    <t>전시 유형</t>
  </si>
  <si>
    <t>전시 기간_시작</t>
  </si>
  <si>
    <t>전시 기간_종료</t>
  </si>
  <si>
    <t>전시 일수</t>
  </si>
  <si>
    <t>참여 작가 수_총(팀)</t>
  </si>
  <si>
    <t>참여 작가 수_국내</t>
  </si>
  <si>
    <t>참여 작가 수_해외</t>
  </si>
  <si>
    <t>참여 작가 수_소장 작가</t>
  </si>
  <si>
    <t>총 사용 예산</t>
  </si>
  <si>
    <t>전시 사용 예산</t>
  </si>
  <si>
    <t>부대 사용 예산</t>
  </si>
  <si>
    <t>예산 계획액</t>
  </si>
  <si>
    <t>예산 집행률</t>
  </si>
  <si>
    <t>총수입</t>
  </si>
  <si>
    <t>입장 수입</t>
  </si>
  <si>
    <t>총 관객수</t>
  </si>
  <si>
    <t>일평균 관객수</t>
  </si>
  <si>
    <t>유료 관객수</t>
  </si>
  <si>
    <t>무료/초대 관객수</t>
  </si>
  <si>
    <t>학생 관객수(만 24세 이하)</t>
  </si>
  <si>
    <t>단체 관객수</t>
  </si>
  <si>
    <t>디스커버서울패스 관객수</t>
  </si>
  <si>
    <t>예술인패스 관객수</t>
  </si>
  <si>
    <t>운영 인력_총</t>
  </si>
  <si>
    <t>스태프 수</t>
  </si>
  <si>
    <t>봉사자 수</t>
  </si>
  <si>
    <t>지원단 수</t>
  </si>
  <si>
    <t>프로그램 총 수</t>
  </si>
  <si>
    <t>프로그램 총 회차</t>
  </si>
  <si>
    <t>프로그램 참여 인원</t>
  </si>
  <si>
    <t>도슨트 참여 인원</t>
  </si>
  <si>
    <t>정기 도슨트 참여 인원</t>
  </si>
  <si>
    <t>특별 도슨트 참여 인원</t>
  </si>
  <si>
    <t>오프닝 참석 인원</t>
  </si>
  <si>
    <t>출품 작품 수_총</t>
  </si>
  <si>
    <t>출품 작품 수_신작</t>
  </si>
  <si>
    <t>출품 작품 수_구작</t>
  </si>
  <si>
    <t>출품 작품 수_회화</t>
  </si>
  <si>
    <t>출품 작품 수_조각</t>
  </si>
  <si>
    <t>출품 작품 수_사진</t>
  </si>
  <si>
    <t>출품 작품 수_설치</t>
  </si>
  <si>
    <t>출품 작품 수_미디어</t>
  </si>
  <si>
    <t>출품 작품 수_기타</t>
  </si>
  <si>
    <t>언론 보도 건수</t>
  </si>
  <si>
    <t>웹 초청장 발송 수</t>
  </si>
  <si>
    <t>뉴스레터 오픈율</t>
  </si>
  <si>
    <t>SNS 게시 건수</t>
  </si>
  <si>
    <t>SNS 피드백 합계</t>
  </si>
  <si>
    <t>멤버십 회원수</t>
  </si>
  <si>
    <t>멤버십 증가율</t>
  </si>
  <si>
    <t>Super-fine: 가벼운 사진술</t>
  </si>
  <si>
    <t>2021.10.01</t>
  </si>
  <si>
    <t>2021.10.24.</t>
  </si>
  <si>
    <t>-</t>
  </si>
  <si>
    <t>IMA Picks 2021</t>
  </si>
  <si>
    <t>2021.11.19</t>
  </si>
  <si>
    <t>2022.02.06</t>
  </si>
  <si>
    <t>언커머셜(UNCOMMERCIAL): 한국 상업사진, 1984년 이후</t>
  </si>
  <si>
    <t>2022.04.08</t>
  </si>
  <si>
    <t>2022.06.26</t>
  </si>
  <si>
    <t>나를 닮은 사람, 노래해야 한다면 나는 당신의 혁명에 참여하지 않겠습니다</t>
  </si>
  <si>
    <t>2022.08.23</t>
  </si>
  <si>
    <t>2022.10.02</t>
  </si>
  <si>
    <t>다시 그린 세계: 한국화의 단절과 연속</t>
  </si>
  <si>
    <t>2022.10.28</t>
  </si>
  <si>
    <t>2023.01.08</t>
  </si>
  <si>
    <t>히스테리아: 동시대 리얼리즘 회화</t>
  </si>
  <si>
    <t>2023.04.14</t>
  </si>
  <si>
    <t>2023.06.25</t>
  </si>
  <si>
    <t>I Like To Watch</t>
  </si>
  <si>
    <t>2023.09.07</t>
  </si>
  <si>
    <t>2023.11.12</t>
  </si>
  <si>
    <t>데코⋅데코 Décor⋅Décor: 리빙룸 아케이드</t>
  </si>
  <si>
    <t>2023.11.25</t>
  </si>
  <si>
    <t>2023.12.31</t>
  </si>
  <si>
    <t>포에버리즘: 우리를 세상의 끝으로</t>
  </si>
  <si>
    <t>2024.04.12</t>
  </si>
  <si>
    <t>2024.06.23</t>
  </si>
  <si>
    <t>IMA Picks 2024</t>
  </si>
  <si>
    <t>2024.08.30</t>
  </si>
  <si>
    <t>2024.11.17</t>
  </si>
  <si>
    <t>미음완보微吟緩步, 전통정원을 거닐다</t>
  </si>
  <si>
    <t>2024.12.06</t>
  </si>
  <si>
    <t>2024.12.15</t>
  </si>
  <si>
    <t>하이퍼 옐로우</t>
  </si>
  <si>
    <t>2025.02.28</t>
  </si>
  <si>
    <t>2025.04.20</t>
  </si>
  <si>
    <t>시대복장 Iconclash: Contemporary Outfits</t>
  </si>
  <si>
    <t>2025.05.30</t>
  </si>
  <si>
    <t>2025.07.20</t>
  </si>
  <si>
    <t>2025.06.18</t>
  </si>
  <si>
    <t>2025.08.02</t>
  </si>
  <si>
    <t>2025.08.08</t>
  </si>
  <si>
    <t>2025.10.11</t>
  </si>
  <si>
    <t>《형상 회로: 동아미술제와 그 시대》</t>
  </si>
  <si>
    <t>2025.08.22</t>
  </si>
  <si>
    <t>2025.10.26</t>
  </si>
  <si>
    <t>고요와 파동 Silence: Inside the Fame</t>
  </si>
  <si>
    <t>2025.11.16</t>
  </si>
  <si>
    <t>2025.11.30</t>
  </si>
  <si>
    <t>2025 ARKO Leap</t>
  </si>
  <si>
    <t>2025.12.12</t>
  </si>
  <si>
    <t>2026.01.10</t>
  </si>
  <si>
    <t>색상 범례</t>
  </si>
  <si>
    <t>자동 추출 완료 — 원본과 대조 검증 필요</t>
  </si>
  <si>
    <t>수동 입력 필요 — 자동 추출 실패 또는 해당 없음</t>
  </si>
  <si>
    <t>필드별 추출 성공률</t>
  </si>
  <si>
    <t>필드</t>
  </si>
  <si>
    <t>추출</t>
  </si>
  <si>
    <t>비율</t>
  </si>
  <si>
    <t>비고</t>
  </si>
  <si>
    <t>17/17</t>
  </si>
  <si>
    <t>100%</t>
  </si>
  <si>
    <t>12/17</t>
  </si>
  <si>
    <t>71%</t>
  </si>
  <si>
    <t>16/17</t>
  </si>
  <si>
    <t>94%</t>
  </si>
  <si>
    <t>참여 작가 수</t>
  </si>
  <si>
    <t>7/17</t>
  </si>
  <si>
    <t>41%</t>
  </si>
  <si>
    <t>책임기획</t>
  </si>
  <si>
    <t>11/17</t>
  </si>
  <si>
    <t>65%</t>
  </si>
  <si>
    <t>9/17</t>
  </si>
  <si>
    <t>53%</t>
  </si>
  <si>
    <t>5/17</t>
  </si>
  <si>
    <t>29%</t>
  </si>
  <si>
    <t>비율(%)에서 역산한 경우 포함</t>
  </si>
  <si>
    <t>유료 관객수에서 역산한 경우 포함</t>
  </si>
  <si>
    <t>학생 관객수</t>
  </si>
  <si>
    <t>3/17</t>
  </si>
  <si>
    <t>18%</t>
  </si>
  <si>
    <t>학생+단체 합산치만 있는 경우 포함</t>
  </si>
  <si>
    <t>2/17</t>
  </si>
  <si>
    <t>12%</t>
  </si>
  <si>
    <t>학생과 합산 기재된 경우 많음</t>
  </si>
  <si>
    <t>1/17</t>
  </si>
  <si>
    <t>6%</t>
  </si>
  <si>
    <t>향후 축적 필요</t>
  </si>
  <si>
    <t>15/17</t>
  </si>
  <si>
    <t>88%</t>
  </si>
  <si>
    <t>13/17</t>
  </si>
  <si>
    <t>76%</t>
  </si>
  <si>
    <t>10/17</t>
  </si>
  <si>
    <t>59%</t>
  </si>
  <si>
    <t>0/17</t>
  </si>
  <si>
    <t>0%</t>
  </si>
  <si>
    <t>보고서에 매체별 분류 미기재 다수</t>
  </si>
  <si>
    <t>14/17</t>
  </si>
  <si>
    <t>82%</t>
  </si>
  <si>
    <t>4/17</t>
  </si>
  <si>
    <t>24%</t>
  </si>
  <si>
    <t>% 또는 인원수 형태 혼재</t>
  </si>
  <si>
    <r>
      <rPr>
        <sz val="9"/>
        <rFont val="돋움"/>
        <family val="3"/>
        <charset val="129"/>
      </rPr>
      <t>다시</t>
    </r>
    <r>
      <rPr>
        <sz val="9"/>
        <rFont val="Arial"/>
      </rPr>
      <t xml:space="preserve"> </t>
    </r>
    <r>
      <rPr>
        <sz val="9"/>
        <rFont val="돋움"/>
        <family val="3"/>
        <charset val="129"/>
      </rPr>
      <t>그린</t>
    </r>
    <r>
      <rPr>
        <sz val="9"/>
        <rFont val="Arial"/>
      </rPr>
      <t xml:space="preserve"> </t>
    </r>
    <r>
      <rPr>
        <sz val="9"/>
        <rFont val="돋움"/>
        <family val="3"/>
        <charset val="129"/>
      </rPr>
      <t>세계</t>
    </r>
    <r>
      <rPr>
        <sz val="9"/>
        <rFont val="Arial"/>
      </rPr>
      <t xml:space="preserve"> 2025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오사카</t>
    </r>
    <phoneticPr fontId="7" type="noConversion"/>
  </si>
  <si>
    <r>
      <rPr>
        <sz val="9"/>
        <rFont val="돋움"/>
        <family val="3"/>
        <charset val="129"/>
      </rPr>
      <t>다시</t>
    </r>
    <r>
      <rPr>
        <sz val="9"/>
        <rFont val="Arial"/>
      </rPr>
      <t xml:space="preserve"> </t>
    </r>
    <r>
      <rPr>
        <sz val="9"/>
        <rFont val="돋움"/>
        <family val="3"/>
        <charset val="129"/>
      </rPr>
      <t>그린</t>
    </r>
    <r>
      <rPr>
        <sz val="9"/>
        <rFont val="Arial"/>
      </rPr>
      <t xml:space="preserve"> </t>
    </r>
    <r>
      <rPr>
        <sz val="9"/>
        <rFont val="돋움"/>
        <family val="3"/>
        <charset val="129"/>
      </rPr>
      <t>세계</t>
    </r>
    <r>
      <rPr>
        <sz val="9"/>
        <rFont val="Arial"/>
      </rPr>
      <t xml:space="preserve"> 2025: </t>
    </r>
    <r>
      <rPr>
        <sz val="9"/>
        <rFont val="돋움"/>
        <family val="3"/>
        <charset val="129"/>
      </rPr>
      <t>도쿄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</si>
</sst>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%"/>
  </numFmts>
  <fonts count="16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2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theme="0" tint="-0.249977111117893"/>
      <name val="Arial"/>
      <family val="2"/>
    </font>
    <font>
      <sz val="9"/>
      <name val="돋움"/>
      <family val="3"/>
      <charset val="129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1" fontId="8" fillId="0" borderId="0">
      <alignment vertical="center"/>
    </xf>
  </cellStyleXfs>
  <cellXfs count="4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3" fontId="2" fillId="4" borderId="1" xfId="0" applyNumberFormat="1" applyFont="1" applyFill="1" applyBorder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9" fillId="5" borderId="1" xfId="0" applyFont="1" applyFill="1" applyBorder="1"/>
    <xf numFmtId="0" fontId="10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0" fillId="6" borderId="0" xfId="0" applyFont="1" applyFill="1" applyAlignment="1">
      <alignment horizontal="center" wrapText="1"/>
    </xf>
    <xf numFmtId="3" fontId="11" fillId="4" borderId="1" xfId="0" applyNumberFormat="1" applyFont="1" applyFill="1" applyBorder="1"/>
    <xf numFmtId="0" fontId="9" fillId="5" borderId="1" xfId="0" quotePrefix="1" applyFont="1" applyFill="1" applyBorder="1" applyAlignment="1">
      <alignment horizontal="right"/>
    </xf>
    <xf numFmtId="3" fontId="13" fillId="4" borderId="1" xfId="0" applyNumberFormat="1" applyFont="1" applyFill="1" applyBorder="1"/>
    <xf numFmtId="3" fontId="2" fillId="5" borderId="1" xfId="0" applyNumberFormat="1" applyFont="1" applyFill="1" applyBorder="1"/>
    <xf numFmtId="3" fontId="9" fillId="4" borderId="1" xfId="0" quotePrefix="1" applyNumberFormat="1" applyFont="1" applyFill="1" applyBorder="1" applyAlignment="1">
      <alignment horizontal="right"/>
    </xf>
    <xf numFmtId="3" fontId="14" fillId="4" borderId="1" xfId="0" applyNumberFormat="1" applyFont="1" applyFill="1" applyBorder="1"/>
    <xf numFmtId="0" fontId="0" fillId="0" borderId="0" xfId="0"/>
    <xf numFmtId="41" fontId="2" fillId="5" borderId="1" xfId="1" applyFont="1" applyFill="1" applyBorder="1" applyAlignment="1"/>
    <xf numFmtId="41" fontId="2" fillId="4" borderId="1" xfId="1" applyFont="1" applyFill="1" applyBorder="1" applyAlignment="1"/>
    <xf numFmtId="41" fontId="9" fillId="5" borderId="1" xfId="1" quotePrefix="1" applyFont="1" applyFill="1" applyBorder="1" applyAlignment="1">
      <alignment horizontal="right" wrapText="1"/>
    </xf>
    <xf numFmtId="41" fontId="9" fillId="5" borderId="1" xfId="1" quotePrefix="1" applyFont="1" applyFill="1" applyBorder="1" applyAlignment="1">
      <alignment horizontal="right"/>
    </xf>
    <xf numFmtId="176" fontId="2" fillId="5" borderId="1" xfId="0" applyNumberFormat="1" applyFont="1" applyFill="1" applyBorder="1"/>
    <xf numFmtId="176" fontId="2" fillId="4" borderId="1" xfId="0" applyNumberFormat="1" applyFont="1" applyFill="1" applyBorder="1"/>
    <xf numFmtId="41" fontId="2" fillId="5" borderId="1" xfId="1" applyFont="1" applyFill="1" applyBorder="1" applyAlignment="1">
      <alignment wrapText="1"/>
    </xf>
    <xf numFmtId="176" fontId="9" fillId="5" borderId="1" xfId="0" applyNumberFormat="1" applyFont="1" applyFill="1" applyBorder="1"/>
    <xf numFmtId="41" fontId="13" fillId="4" borderId="1" xfId="1" applyFont="1" applyFill="1" applyBorder="1" applyAlignment="1"/>
    <xf numFmtId="41" fontId="13" fillId="5" borderId="1" xfId="1" applyFont="1" applyFill="1" applyBorder="1" applyAlignment="1">
      <alignment wrapText="1"/>
    </xf>
    <xf numFmtId="41" fontId="13" fillId="4" borderId="1" xfId="1" applyFont="1" applyFill="1" applyBorder="1" applyAlignment="1">
      <alignment wrapText="1"/>
    </xf>
    <xf numFmtId="41" fontId="2" fillId="4" borderId="1" xfId="1" applyFont="1" applyFill="1" applyBorder="1" applyAlignment="1">
      <alignment wrapText="1"/>
    </xf>
    <xf numFmtId="41" fontId="14" fillId="5" borderId="1" xfId="1" applyFont="1" applyFill="1" applyBorder="1" applyAlignment="1"/>
    <xf numFmtId="41" fontId="13" fillId="5" borderId="1" xfId="1" applyFont="1" applyFill="1" applyBorder="1" applyAlignment="1"/>
    <xf numFmtId="41" fontId="9" fillId="5" borderId="1" xfId="1" quotePrefix="1" applyFont="1" applyFill="1" applyBorder="1" applyAlignment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9" fillId="4" borderId="1" xfId="0" applyFont="1" applyFill="1" applyBorder="1"/>
    <xf numFmtId="0" fontId="15" fillId="0" borderId="0" xfId="0" applyFont="1"/>
    <xf numFmtId="0" fontId="15" fillId="0" borderId="0" xfId="0" applyFont="1" applyFill="1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25"/>
  <sheetViews>
    <sheetView tabSelected="1" workbookViewId="0">
      <pane xSplit="6" ySplit="25" topLeftCell="G26" activePane="bottomRight" state="frozen"/>
      <selection pane="topRight" activeCell="G1" sqref="G1"/>
      <selection pane="bottomLeft" activeCell="A25" sqref="A25"/>
      <selection pane="bottomRight" activeCell="C21" sqref="C21"/>
    </sheetView>
  </sheetViews>
  <sheetFormatPr defaultRowHeight="16.5" x14ac:dyDescent="0.3"/>
  <cols>
    <col min="1" max="1" width="4" style="24" customWidth="1"/>
    <col min="2" max="2" width="30" style="24" customWidth="1"/>
    <col min="3" max="4" width="10" style="24" customWidth="1"/>
    <col min="5" max="9" width="8" style="24" customWidth="1"/>
    <col min="10" max="11" width="16" style="24" customWidth="1"/>
    <col min="12" max="12" width="14" style="24" customWidth="1"/>
    <col min="13" max="13" width="16" style="24" customWidth="1"/>
    <col min="14" max="14" width="8" style="24" customWidth="1"/>
    <col min="15" max="16" width="16" style="24" customWidth="1"/>
    <col min="17" max="20" width="10" style="24" customWidth="1"/>
    <col min="21" max="21" width="11.625" style="16" bestFit="1" customWidth="1"/>
    <col min="22" max="24" width="10" style="24" customWidth="1"/>
    <col min="25" max="29" width="8" style="24" customWidth="1"/>
    <col min="30" max="35" width="10" style="24" customWidth="1"/>
    <col min="36" max="45" width="8" style="24" customWidth="1"/>
    <col min="46" max="47" width="10" style="24" customWidth="1"/>
    <col min="48" max="48" width="8" style="24" customWidth="1"/>
    <col min="49" max="49" width="12" style="24" customWidth="1"/>
    <col min="50" max="51" width="10" style="24" customWidth="1"/>
  </cols>
  <sheetData>
    <row r="1" spans="1:52" ht="20.100000000000001" customHeight="1" x14ac:dyDescent="0.3">
      <c r="A1" s="1"/>
      <c r="B1" s="41" t="s">
        <v>0</v>
      </c>
      <c r="C1" s="40"/>
      <c r="D1" s="40"/>
      <c r="E1" s="40"/>
      <c r="F1" s="40"/>
      <c r="J1" s="40"/>
      <c r="K1" s="41" t="s">
        <v>1</v>
      </c>
      <c r="L1" s="40"/>
      <c r="M1" s="40"/>
      <c r="N1" s="40"/>
      <c r="O1" s="40"/>
      <c r="P1" s="41" t="s">
        <v>2</v>
      </c>
      <c r="Q1" s="40"/>
      <c r="R1" s="41" t="s">
        <v>3</v>
      </c>
      <c r="S1" s="40"/>
      <c r="T1" s="40"/>
      <c r="U1" s="42"/>
      <c r="V1" s="40"/>
      <c r="W1" s="40"/>
      <c r="Y1" s="40"/>
      <c r="Z1" s="41" t="s">
        <v>4</v>
      </c>
      <c r="AA1" s="40"/>
      <c r="AB1" s="40"/>
      <c r="AC1" s="40"/>
      <c r="AD1" s="41" t="s">
        <v>5</v>
      </c>
      <c r="AE1" s="40"/>
      <c r="AF1" s="40"/>
      <c r="AG1" s="40"/>
      <c r="AH1" s="40"/>
      <c r="AI1" s="40"/>
      <c r="AJ1" s="40"/>
      <c r="AK1" s="41" t="s">
        <v>6</v>
      </c>
      <c r="AL1" s="40"/>
      <c r="AM1" s="40"/>
      <c r="AN1" s="40"/>
      <c r="AO1" s="40"/>
      <c r="AP1" s="40"/>
      <c r="AQ1" s="40"/>
      <c r="AR1" s="40"/>
      <c r="AS1" s="40"/>
      <c r="AT1" s="41" t="s">
        <v>7</v>
      </c>
      <c r="AU1" s="40"/>
      <c r="AV1" s="40"/>
      <c r="AW1" s="40"/>
      <c r="AX1" s="40"/>
      <c r="AY1" s="41" t="s">
        <v>8</v>
      </c>
    </row>
    <row r="2" spans="1:52" ht="32.1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15" t="s">
        <v>15</v>
      </c>
      <c r="H2" s="17" t="s">
        <v>16</v>
      </c>
      <c r="I2" s="17" t="s">
        <v>17</v>
      </c>
      <c r="J2" s="17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15" t="s">
        <v>30</v>
      </c>
      <c r="W2" s="3" t="s">
        <v>31</v>
      </c>
      <c r="X2" s="3" t="s">
        <v>32</v>
      </c>
      <c r="Y2" s="17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3" t="s">
        <v>39</v>
      </c>
      <c r="AF2" s="3" t="s">
        <v>40</v>
      </c>
      <c r="AG2" s="3" t="s">
        <v>41</v>
      </c>
      <c r="AH2" s="17" t="s">
        <v>42</v>
      </c>
      <c r="AI2" s="17" t="s">
        <v>43</v>
      </c>
      <c r="AJ2" s="3" t="s">
        <v>44</v>
      </c>
      <c r="AK2" s="3" t="s">
        <v>45</v>
      </c>
      <c r="AL2" s="17" t="s">
        <v>46</v>
      </c>
      <c r="AM2" s="17" t="s">
        <v>47</v>
      </c>
      <c r="AN2" s="3" t="s">
        <v>48</v>
      </c>
      <c r="AO2" s="3" t="s">
        <v>49</v>
      </c>
      <c r="AP2" s="17" t="s">
        <v>50</v>
      </c>
      <c r="AQ2" s="3" t="s">
        <v>51</v>
      </c>
      <c r="AR2" s="3" t="s">
        <v>52</v>
      </c>
      <c r="AS2" s="3" t="s">
        <v>53</v>
      </c>
      <c r="AT2" s="3" t="s">
        <v>54</v>
      </c>
      <c r="AU2" s="3" t="s">
        <v>55</v>
      </c>
      <c r="AV2" s="3" t="s">
        <v>56</v>
      </c>
      <c r="AW2" s="3" t="s">
        <v>57</v>
      </c>
      <c r="AX2" s="3" t="s">
        <v>58</v>
      </c>
      <c r="AY2" s="3" t="s">
        <v>59</v>
      </c>
      <c r="AZ2" s="3" t="s">
        <v>60</v>
      </c>
    </row>
    <row r="3" spans="1:52" x14ac:dyDescent="0.3">
      <c r="A3" s="4">
        <v>1</v>
      </c>
      <c r="B3" s="5" t="s">
        <v>61</v>
      </c>
      <c r="C3" s="44">
        <v>2</v>
      </c>
      <c r="D3" s="5" t="s">
        <v>62</v>
      </c>
      <c r="E3" s="14" t="s">
        <v>63</v>
      </c>
      <c r="F3" s="7">
        <v>21</v>
      </c>
      <c r="G3" s="7">
        <v>9</v>
      </c>
      <c r="H3" s="6">
        <v>8</v>
      </c>
      <c r="I3" s="6">
        <v>1</v>
      </c>
      <c r="J3" s="19" t="s">
        <v>64</v>
      </c>
      <c r="K3" s="25">
        <v>54569135</v>
      </c>
      <c r="L3" s="25">
        <v>54569135</v>
      </c>
      <c r="M3" s="25">
        <v>0</v>
      </c>
      <c r="N3" s="25">
        <v>5407200</v>
      </c>
      <c r="O3" s="6"/>
      <c r="P3" s="7">
        <v>4636000</v>
      </c>
      <c r="Q3" s="7">
        <v>4636000</v>
      </c>
      <c r="R3" s="7">
        <v>2715</v>
      </c>
      <c r="S3" s="7">
        <v>130</v>
      </c>
      <c r="T3" s="26">
        <v>1037</v>
      </c>
      <c r="U3" s="26">
        <v>1678</v>
      </c>
      <c r="V3" s="27" t="s">
        <v>64</v>
      </c>
      <c r="W3" s="27" t="s">
        <v>64</v>
      </c>
      <c r="X3" s="27" t="s">
        <v>64</v>
      </c>
      <c r="Y3" s="28" t="s">
        <v>64</v>
      </c>
      <c r="Z3" s="7">
        <v>16</v>
      </c>
      <c r="AA3" s="7">
        <v>2</v>
      </c>
      <c r="AB3" s="6">
        <v>14</v>
      </c>
      <c r="AC3" s="18">
        <v>4</v>
      </c>
      <c r="AD3" s="7">
        <v>5</v>
      </c>
      <c r="AE3" s="7">
        <v>30</v>
      </c>
      <c r="AF3" s="7">
        <v>317</v>
      </c>
      <c r="AG3" s="7">
        <v>225</v>
      </c>
      <c r="AH3" s="19">
        <v>216</v>
      </c>
      <c r="AI3" s="19">
        <v>9</v>
      </c>
      <c r="AJ3" s="22" t="s">
        <v>64</v>
      </c>
      <c r="AK3" s="6">
        <v>125</v>
      </c>
      <c r="AL3" s="6"/>
      <c r="AM3" s="6"/>
      <c r="AN3" s="6">
        <v>0</v>
      </c>
      <c r="AO3" s="6">
        <v>0</v>
      </c>
      <c r="AP3" s="6">
        <v>93</v>
      </c>
      <c r="AQ3" s="6">
        <v>25</v>
      </c>
      <c r="AR3" s="6">
        <v>7</v>
      </c>
      <c r="AS3" s="6">
        <v>0</v>
      </c>
      <c r="AT3" s="7">
        <v>10</v>
      </c>
      <c r="AU3" s="7">
        <v>523</v>
      </c>
      <c r="AV3" s="29">
        <v>0.26</v>
      </c>
      <c r="AW3" s="7">
        <v>10</v>
      </c>
      <c r="AX3" s="7">
        <v>10006</v>
      </c>
      <c r="AY3" s="6"/>
      <c r="AZ3" s="6"/>
    </row>
    <row r="4" spans="1:52" x14ac:dyDescent="0.3">
      <c r="A4" s="4">
        <v>2</v>
      </c>
      <c r="B4" s="5" t="s">
        <v>65</v>
      </c>
      <c r="C4" s="44">
        <v>1</v>
      </c>
      <c r="D4" s="5" t="s">
        <v>66</v>
      </c>
      <c r="E4" s="5" t="s">
        <v>67</v>
      </c>
      <c r="F4" s="7">
        <v>68</v>
      </c>
      <c r="G4" s="7">
        <v>3</v>
      </c>
      <c r="H4" s="6">
        <v>3</v>
      </c>
      <c r="I4" s="19">
        <v>0</v>
      </c>
      <c r="J4" s="19" t="s">
        <v>64</v>
      </c>
      <c r="K4" s="7">
        <v>85316304</v>
      </c>
      <c r="L4" s="25">
        <v>80174654</v>
      </c>
      <c r="M4" s="25">
        <v>5141650</v>
      </c>
      <c r="N4" s="7">
        <v>85564640</v>
      </c>
      <c r="O4" s="30">
        <v>0.997</v>
      </c>
      <c r="P4" s="7">
        <v>28882000</v>
      </c>
      <c r="Q4" s="7">
        <v>28882000</v>
      </c>
      <c r="R4" s="7">
        <v>5166</v>
      </c>
      <c r="S4" s="7">
        <v>78</v>
      </c>
      <c r="T4" s="25">
        <v>4491</v>
      </c>
      <c r="U4" s="25">
        <v>675</v>
      </c>
      <c r="V4" s="31">
        <v>860</v>
      </c>
      <c r="W4" s="27" t="s">
        <v>64</v>
      </c>
      <c r="X4" s="25">
        <v>2</v>
      </c>
      <c r="Y4" s="25">
        <v>69</v>
      </c>
      <c r="Z4" s="7">
        <v>20</v>
      </c>
      <c r="AA4" s="7">
        <v>5</v>
      </c>
      <c r="AB4" s="6">
        <v>15</v>
      </c>
      <c r="AC4" s="18">
        <v>4</v>
      </c>
      <c r="AD4" s="7">
        <v>4</v>
      </c>
      <c r="AE4" s="7">
        <v>37</v>
      </c>
      <c r="AF4" s="7">
        <v>263</v>
      </c>
      <c r="AG4" s="7">
        <v>220</v>
      </c>
      <c r="AH4" s="19">
        <v>210</v>
      </c>
      <c r="AI4" s="19">
        <v>10</v>
      </c>
      <c r="AJ4" s="19" t="s">
        <v>64</v>
      </c>
      <c r="AK4" s="6">
        <f t="shared" ref="AK4:AK20" si="0">SUM(AM4:AR4)</f>
        <v>154</v>
      </c>
      <c r="AL4" s="6">
        <v>48</v>
      </c>
      <c r="AM4" s="6">
        <v>53</v>
      </c>
      <c r="AN4" s="6">
        <v>43</v>
      </c>
      <c r="AO4" s="6">
        <v>48</v>
      </c>
      <c r="AP4" s="6">
        <v>0</v>
      </c>
      <c r="AQ4" s="6">
        <v>10</v>
      </c>
      <c r="AR4" s="6">
        <v>0</v>
      </c>
      <c r="AS4" s="6">
        <v>0</v>
      </c>
      <c r="AT4" s="7">
        <v>25</v>
      </c>
      <c r="AU4" s="7">
        <v>4101</v>
      </c>
      <c r="AV4" s="32">
        <v>0.30099999999999999</v>
      </c>
      <c r="AW4" s="7">
        <v>18</v>
      </c>
      <c r="AX4" s="7">
        <v>126796</v>
      </c>
      <c r="AY4" s="7">
        <v>75</v>
      </c>
      <c r="AZ4" s="6"/>
    </row>
    <row r="5" spans="1:52" x14ac:dyDescent="0.3">
      <c r="A5" s="4">
        <v>3</v>
      </c>
      <c r="B5" s="5" t="s">
        <v>68</v>
      </c>
      <c r="C5" s="44">
        <v>1</v>
      </c>
      <c r="D5" s="5" t="s">
        <v>69</v>
      </c>
      <c r="E5" s="5" t="s">
        <v>70</v>
      </c>
      <c r="F5" s="7">
        <v>69</v>
      </c>
      <c r="G5" s="7">
        <v>29</v>
      </c>
      <c r="H5" s="6">
        <v>29</v>
      </c>
      <c r="I5" s="6">
        <v>0</v>
      </c>
      <c r="J5" s="19" t="s">
        <v>64</v>
      </c>
      <c r="K5" s="7">
        <v>136413822</v>
      </c>
      <c r="L5" s="25">
        <v>0</v>
      </c>
      <c r="M5" s="25">
        <v>0</v>
      </c>
      <c r="N5" s="7">
        <v>124092776</v>
      </c>
      <c r="O5" s="30">
        <v>1.099</v>
      </c>
      <c r="P5" s="7">
        <v>91003500</v>
      </c>
      <c r="Q5" s="7">
        <v>91003500</v>
      </c>
      <c r="R5" s="7">
        <v>15071</v>
      </c>
      <c r="S5" s="7">
        <v>218</v>
      </c>
      <c r="T5" s="33">
        <v>14242</v>
      </c>
      <c r="U5" s="33">
        <v>829</v>
      </c>
      <c r="V5" s="31">
        <v>3377</v>
      </c>
      <c r="W5" s="26">
        <v>131</v>
      </c>
      <c r="X5" s="25">
        <v>17</v>
      </c>
      <c r="Y5" s="25">
        <v>41</v>
      </c>
      <c r="Z5" s="7">
        <v>21</v>
      </c>
      <c r="AA5" s="7">
        <v>5</v>
      </c>
      <c r="AB5" s="6">
        <v>16</v>
      </c>
      <c r="AC5" s="18">
        <v>2</v>
      </c>
      <c r="AD5" s="7">
        <v>5</v>
      </c>
      <c r="AE5" s="7">
        <v>34</v>
      </c>
      <c r="AF5" s="7">
        <v>650</v>
      </c>
      <c r="AG5" s="7">
        <v>477</v>
      </c>
      <c r="AH5" s="19">
        <v>477</v>
      </c>
      <c r="AI5" s="19">
        <v>12</v>
      </c>
      <c r="AJ5" s="19" t="s">
        <v>64</v>
      </c>
      <c r="AK5" s="6">
        <f t="shared" si="0"/>
        <v>189</v>
      </c>
      <c r="AL5" s="6"/>
      <c r="AM5" s="6"/>
      <c r="AN5" s="6">
        <v>0</v>
      </c>
      <c r="AO5" s="6">
        <v>0</v>
      </c>
      <c r="AP5" s="6">
        <v>187</v>
      </c>
      <c r="AQ5" s="6">
        <v>2</v>
      </c>
      <c r="AR5" s="6">
        <v>0</v>
      </c>
      <c r="AS5" s="6">
        <v>441</v>
      </c>
      <c r="AT5" s="7">
        <v>36</v>
      </c>
      <c r="AU5" s="7">
        <v>4091</v>
      </c>
      <c r="AV5" s="32">
        <v>0.3165</v>
      </c>
      <c r="AW5" s="7">
        <v>17</v>
      </c>
      <c r="AX5" s="7">
        <v>151278</v>
      </c>
      <c r="AY5" s="7">
        <v>85</v>
      </c>
      <c r="AZ5" s="30">
        <v>0.12</v>
      </c>
    </row>
    <row r="6" spans="1:52" x14ac:dyDescent="0.3">
      <c r="A6" s="4">
        <v>4</v>
      </c>
      <c r="B6" s="5" t="s">
        <v>71</v>
      </c>
      <c r="C6" s="45">
        <v>2</v>
      </c>
      <c r="D6" s="5" t="s">
        <v>72</v>
      </c>
      <c r="E6" s="5" t="s">
        <v>73</v>
      </c>
      <c r="F6" s="7">
        <v>35</v>
      </c>
      <c r="G6" s="6">
        <v>3</v>
      </c>
      <c r="H6" s="6">
        <v>3</v>
      </c>
      <c r="I6" s="6">
        <v>0</v>
      </c>
      <c r="J6" s="19" t="s">
        <v>64</v>
      </c>
      <c r="K6" s="7">
        <v>42321026</v>
      </c>
      <c r="L6" s="25">
        <v>37276776</v>
      </c>
      <c r="M6" s="25">
        <v>5044250</v>
      </c>
      <c r="N6" s="7">
        <v>39253792</v>
      </c>
      <c r="O6" s="30">
        <v>1.0780000000000001</v>
      </c>
      <c r="P6" s="7">
        <v>28881000</v>
      </c>
      <c r="Q6" s="7">
        <v>28881000</v>
      </c>
      <c r="R6" s="7">
        <v>4989</v>
      </c>
      <c r="S6" s="7">
        <v>143</v>
      </c>
      <c r="T6" s="26">
        <v>4335</v>
      </c>
      <c r="U6" s="26">
        <v>654</v>
      </c>
      <c r="V6" s="31">
        <v>1174</v>
      </c>
      <c r="W6" s="25">
        <v>42</v>
      </c>
      <c r="X6" s="25">
        <v>2</v>
      </c>
      <c r="Y6" s="25">
        <v>53</v>
      </c>
      <c r="Z6" s="7">
        <v>20</v>
      </c>
      <c r="AA6" s="7">
        <v>5</v>
      </c>
      <c r="AB6" s="6">
        <v>15</v>
      </c>
      <c r="AC6" s="18">
        <v>2</v>
      </c>
      <c r="AD6" s="6">
        <v>5</v>
      </c>
      <c r="AE6" s="6">
        <v>22</v>
      </c>
      <c r="AF6" s="7">
        <v>318</v>
      </c>
      <c r="AG6" s="7">
        <v>432</v>
      </c>
      <c r="AH6" s="19">
        <v>190</v>
      </c>
      <c r="AI6" s="19">
        <v>53</v>
      </c>
      <c r="AJ6" s="19" t="s">
        <v>64</v>
      </c>
      <c r="AK6" s="6">
        <f t="shared" si="0"/>
        <v>61</v>
      </c>
      <c r="AL6" s="6"/>
      <c r="AM6" s="6"/>
      <c r="AN6" s="6">
        <v>0</v>
      </c>
      <c r="AO6" s="6">
        <v>59</v>
      </c>
      <c r="AP6" s="6">
        <v>0</v>
      </c>
      <c r="AQ6" s="6">
        <v>0</v>
      </c>
      <c r="AR6" s="6">
        <v>2</v>
      </c>
      <c r="AS6" s="6">
        <v>0</v>
      </c>
      <c r="AT6" s="7">
        <v>17</v>
      </c>
      <c r="AU6" s="7">
        <v>4214</v>
      </c>
      <c r="AV6" s="29">
        <v>0.51800000000000002</v>
      </c>
      <c r="AW6" s="7">
        <v>13</v>
      </c>
      <c r="AX6" s="7">
        <v>131977</v>
      </c>
      <c r="AY6" s="7">
        <v>103</v>
      </c>
      <c r="AZ6" s="30">
        <v>0.22</v>
      </c>
    </row>
    <row r="7" spans="1:52" x14ac:dyDescent="0.3">
      <c r="A7" s="4">
        <v>5</v>
      </c>
      <c r="B7" s="5" t="s">
        <v>74</v>
      </c>
      <c r="C7" s="45">
        <v>1</v>
      </c>
      <c r="D7" s="5" t="s">
        <v>75</v>
      </c>
      <c r="E7" s="5" t="s">
        <v>76</v>
      </c>
      <c r="F7" s="7">
        <v>63</v>
      </c>
      <c r="G7" s="7">
        <v>13</v>
      </c>
      <c r="H7" s="6">
        <v>12</v>
      </c>
      <c r="I7" s="6">
        <v>1</v>
      </c>
      <c r="J7" s="6">
        <v>24</v>
      </c>
      <c r="K7" s="7">
        <v>132415315</v>
      </c>
      <c r="L7" s="25">
        <v>128545627</v>
      </c>
      <c r="M7" s="25">
        <v>3869688</v>
      </c>
      <c r="N7" s="7">
        <v>124507088</v>
      </c>
      <c r="O7" s="30">
        <v>1.0640000000000001</v>
      </c>
      <c r="P7" s="7">
        <v>42124500</v>
      </c>
      <c r="Q7" s="7">
        <v>38600500</v>
      </c>
      <c r="R7" s="7">
        <v>7421</v>
      </c>
      <c r="S7" s="7">
        <v>118</v>
      </c>
      <c r="T7" s="25">
        <v>6087</v>
      </c>
      <c r="U7" s="25">
        <v>1334</v>
      </c>
      <c r="V7" s="34">
        <v>1090</v>
      </c>
      <c r="W7" s="25">
        <v>41</v>
      </c>
      <c r="X7" s="25">
        <v>19</v>
      </c>
      <c r="Y7" s="25">
        <v>68</v>
      </c>
      <c r="Z7" s="7">
        <v>20</v>
      </c>
      <c r="AA7" s="7">
        <v>6</v>
      </c>
      <c r="AB7" s="6">
        <v>31</v>
      </c>
      <c r="AC7" s="18">
        <v>2</v>
      </c>
      <c r="AD7" s="7">
        <v>8</v>
      </c>
      <c r="AE7" s="7">
        <v>45</v>
      </c>
      <c r="AF7" s="7">
        <v>1013</v>
      </c>
      <c r="AG7" s="7">
        <v>312</v>
      </c>
      <c r="AH7" s="19">
        <v>312</v>
      </c>
      <c r="AI7" s="19">
        <v>155</v>
      </c>
      <c r="AJ7" s="7">
        <v>312</v>
      </c>
      <c r="AK7" s="6">
        <f t="shared" si="0"/>
        <v>222</v>
      </c>
      <c r="AL7" s="6"/>
      <c r="AM7" s="6"/>
      <c r="AN7" s="6">
        <v>204</v>
      </c>
      <c r="AO7" s="6">
        <v>11</v>
      </c>
      <c r="AP7" s="6">
        <v>0</v>
      </c>
      <c r="AQ7" s="6">
        <v>6</v>
      </c>
      <c r="AR7" s="6">
        <v>1</v>
      </c>
      <c r="AS7" s="6">
        <v>8</v>
      </c>
      <c r="AT7" s="7">
        <v>22</v>
      </c>
      <c r="AU7" s="7">
        <v>4228</v>
      </c>
      <c r="AV7" s="30">
        <v>0.32900000000000001</v>
      </c>
      <c r="AW7" s="7">
        <v>16</v>
      </c>
      <c r="AX7" s="7">
        <v>140171</v>
      </c>
      <c r="AY7" s="7">
        <v>128</v>
      </c>
      <c r="AZ7" s="30">
        <v>0.24</v>
      </c>
    </row>
    <row r="8" spans="1:52" x14ac:dyDescent="0.3">
      <c r="A8" s="4">
        <v>6</v>
      </c>
      <c r="B8" s="5" t="s">
        <v>77</v>
      </c>
      <c r="C8" s="45">
        <v>1</v>
      </c>
      <c r="D8" s="5" t="s">
        <v>78</v>
      </c>
      <c r="E8" s="5" t="s">
        <v>79</v>
      </c>
      <c r="F8" s="7">
        <v>63</v>
      </c>
      <c r="G8" s="7">
        <v>13</v>
      </c>
      <c r="H8" s="6">
        <v>13</v>
      </c>
      <c r="I8" s="6">
        <v>0</v>
      </c>
      <c r="J8" s="6">
        <v>0</v>
      </c>
      <c r="K8" s="7">
        <v>127820323</v>
      </c>
      <c r="L8" s="7">
        <v>115439613</v>
      </c>
      <c r="M8" s="7">
        <v>12380710</v>
      </c>
      <c r="N8" s="7">
        <v>104855322</v>
      </c>
      <c r="O8" s="30">
        <v>1.2190000000000001</v>
      </c>
      <c r="P8" s="7">
        <v>60342963</v>
      </c>
      <c r="Q8" s="7">
        <v>59768000</v>
      </c>
      <c r="R8" s="7">
        <v>10965</v>
      </c>
      <c r="S8" s="7">
        <v>174</v>
      </c>
      <c r="T8" s="25">
        <v>9734</v>
      </c>
      <c r="U8" s="25">
        <v>1231</v>
      </c>
      <c r="V8" s="35">
        <v>2499</v>
      </c>
      <c r="W8" s="26">
        <v>340</v>
      </c>
      <c r="X8" s="26">
        <v>78</v>
      </c>
      <c r="Y8" s="25">
        <v>181</v>
      </c>
      <c r="Z8" s="7">
        <v>29</v>
      </c>
      <c r="AA8" s="7">
        <v>6</v>
      </c>
      <c r="AB8" s="6">
        <v>23</v>
      </c>
      <c r="AC8" s="18">
        <v>1</v>
      </c>
      <c r="AD8" s="7">
        <v>7</v>
      </c>
      <c r="AE8" s="7">
        <v>43</v>
      </c>
      <c r="AF8" s="7">
        <v>773</v>
      </c>
      <c r="AG8" s="7">
        <v>256</v>
      </c>
      <c r="AH8" s="19">
        <v>256</v>
      </c>
      <c r="AI8" s="19">
        <v>330</v>
      </c>
      <c r="AJ8" s="7">
        <v>86</v>
      </c>
      <c r="AK8" s="6">
        <f t="shared" si="0"/>
        <v>271</v>
      </c>
      <c r="AL8" s="6"/>
      <c r="AM8" s="6"/>
      <c r="AN8" s="6">
        <v>253</v>
      </c>
      <c r="AO8" s="6">
        <v>0</v>
      </c>
      <c r="AP8" s="6">
        <v>16</v>
      </c>
      <c r="AQ8" s="6">
        <v>0</v>
      </c>
      <c r="AR8" s="6">
        <v>2</v>
      </c>
      <c r="AS8" s="6">
        <v>28</v>
      </c>
      <c r="AT8" s="7">
        <v>28</v>
      </c>
      <c r="AU8" s="7">
        <v>3644</v>
      </c>
      <c r="AV8" s="30">
        <v>0.39200000000000002</v>
      </c>
      <c r="AW8" s="7">
        <v>17</v>
      </c>
      <c r="AX8" s="7">
        <v>152389</v>
      </c>
      <c r="AY8" s="7">
        <v>152</v>
      </c>
      <c r="AZ8" s="30">
        <v>0.19</v>
      </c>
    </row>
    <row r="9" spans="1:52" x14ac:dyDescent="0.3">
      <c r="A9" s="4">
        <v>7</v>
      </c>
      <c r="B9" s="5" t="s">
        <v>80</v>
      </c>
      <c r="C9" s="45">
        <v>1</v>
      </c>
      <c r="D9" s="5" t="s">
        <v>81</v>
      </c>
      <c r="E9" s="5" t="s">
        <v>82</v>
      </c>
      <c r="F9" s="7">
        <v>57</v>
      </c>
      <c r="G9" s="6">
        <v>1</v>
      </c>
      <c r="H9" s="6">
        <v>0</v>
      </c>
      <c r="I9" s="6">
        <v>1</v>
      </c>
      <c r="J9" s="6">
        <v>0</v>
      </c>
      <c r="K9" s="7">
        <v>166857076</v>
      </c>
      <c r="L9" s="7">
        <v>149238705</v>
      </c>
      <c r="M9" s="7">
        <v>17618371</v>
      </c>
      <c r="N9" s="7">
        <v>137640958</v>
      </c>
      <c r="O9" s="30">
        <v>1.212</v>
      </c>
      <c r="P9" s="7">
        <v>67946400</v>
      </c>
      <c r="Q9" s="7">
        <v>65577600</v>
      </c>
      <c r="R9" s="7">
        <v>9466</v>
      </c>
      <c r="S9" s="7">
        <v>166</v>
      </c>
      <c r="T9" s="25">
        <v>8035</v>
      </c>
      <c r="U9" s="25">
        <v>1431</v>
      </c>
      <c r="V9" s="36">
        <v>1862</v>
      </c>
      <c r="W9" s="25">
        <v>107</v>
      </c>
      <c r="X9" s="25">
        <v>44</v>
      </c>
      <c r="Y9" s="25">
        <v>321</v>
      </c>
      <c r="Z9" s="7">
        <v>29</v>
      </c>
      <c r="AA9" s="7">
        <v>6</v>
      </c>
      <c r="AB9" s="6">
        <v>23</v>
      </c>
      <c r="AC9" s="18">
        <v>1</v>
      </c>
      <c r="AD9" s="7">
        <v>7</v>
      </c>
      <c r="AE9" s="7">
        <v>38</v>
      </c>
      <c r="AF9" s="7">
        <v>862</v>
      </c>
      <c r="AG9" s="7">
        <v>242</v>
      </c>
      <c r="AH9" s="19">
        <v>242</v>
      </c>
      <c r="AI9" s="19">
        <v>348</v>
      </c>
      <c r="AJ9" s="7">
        <v>157</v>
      </c>
      <c r="AK9" s="6">
        <f t="shared" si="0"/>
        <v>85</v>
      </c>
      <c r="AL9" s="6"/>
      <c r="AM9" s="6"/>
      <c r="AN9" s="6">
        <v>48</v>
      </c>
      <c r="AO9" s="6">
        <v>0</v>
      </c>
      <c r="AP9" s="6">
        <v>0</v>
      </c>
      <c r="AQ9" s="6">
        <v>29</v>
      </c>
      <c r="AR9" s="6">
        <v>8</v>
      </c>
      <c r="AS9" s="6">
        <v>136</v>
      </c>
      <c r="AT9" s="20">
        <v>41</v>
      </c>
      <c r="AU9" s="7">
        <v>702</v>
      </c>
      <c r="AV9" s="30">
        <v>0.36</v>
      </c>
      <c r="AW9" s="7">
        <v>15</v>
      </c>
      <c r="AX9" s="7">
        <v>156645</v>
      </c>
      <c r="AY9" s="7">
        <v>150</v>
      </c>
      <c r="AZ9" s="6"/>
    </row>
    <row r="10" spans="1:52" x14ac:dyDescent="0.3">
      <c r="A10" s="4">
        <v>8</v>
      </c>
      <c r="B10" s="5" t="s">
        <v>83</v>
      </c>
      <c r="C10" s="45">
        <v>3</v>
      </c>
      <c r="D10" s="5" t="s">
        <v>84</v>
      </c>
      <c r="E10" s="5" t="s">
        <v>85</v>
      </c>
      <c r="F10" s="7">
        <v>32</v>
      </c>
      <c r="G10" s="6">
        <v>20</v>
      </c>
      <c r="H10" s="6">
        <v>20</v>
      </c>
      <c r="I10" s="6">
        <v>0</v>
      </c>
      <c r="J10" s="6">
        <v>0</v>
      </c>
      <c r="K10" s="7">
        <v>1476500</v>
      </c>
      <c r="L10" s="25">
        <v>1476500</v>
      </c>
      <c r="M10" s="25">
        <v>0</v>
      </c>
      <c r="N10" s="25">
        <v>0</v>
      </c>
      <c r="O10" s="6"/>
      <c r="P10" s="7">
        <v>59738940</v>
      </c>
      <c r="Q10" s="7">
        <v>8956190</v>
      </c>
      <c r="R10" s="23">
        <v>7324</v>
      </c>
      <c r="S10" s="23">
        <v>228</v>
      </c>
      <c r="T10" s="37">
        <v>5913</v>
      </c>
      <c r="U10" s="37">
        <v>1411</v>
      </c>
      <c r="V10" s="31">
        <v>335</v>
      </c>
      <c r="W10" s="25">
        <v>62</v>
      </c>
      <c r="X10" s="25">
        <v>28</v>
      </c>
      <c r="Y10" s="25">
        <v>41</v>
      </c>
      <c r="Z10" s="7">
        <v>28</v>
      </c>
      <c r="AA10" s="7">
        <v>27</v>
      </c>
      <c r="AB10" s="7">
        <v>1</v>
      </c>
      <c r="AC10" s="19" t="s">
        <v>64</v>
      </c>
      <c r="AD10" s="7">
        <v>2</v>
      </c>
      <c r="AE10" s="19" t="s">
        <v>64</v>
      </c>
      <c r="AF10" s="7">
        <v>927</v>
      </c>
      <c r="AG10" s="7">
        <v>115</v>
      </c>
      <c r="AH10" s="19">
        <v>115</v>
      </c>
      <c r="AI10" s="19">
        <v>0</v>
      </c>
      <c r="AJ10" s="7">
        <v>812</v>
      </c>
      <c r="AK10" s="6">
        <f t="shared" si="0"/>
        <v>0</v>
      </c>
      <c r="AL10" s="19" t="s">
        <v>64</v>
      </c>
      <c r="AM10" s="19" t="s">
        <v>64</v>
      </c>
      <c r="AN10" s="19" t="s">
        <v>64</v>
      </c>
      <c r="AO10" s="19" t="s">
        <v>64</v>
      </c>
      <c r="AP10" s="19" t="s">
        <v>64</v>
      </c>
      <c r="AQ10" s="19" t="s">
        <v>64</v>
      </c>
      <c r="AR10" s="19" t="s">
        <v>64</v>
      </c>
      <c r="AS10" s="19" t="s">
        <v>64</v>
      </c>
      <c r="AT10" s="7">
        <v>45</v>
      </c>
      <c r="AU10" s="7">
        <v>1000</v>
      </c>
      <c r="AV10" s="30">
        <v>0.41299999999999998</v>
      </c>
      <c r="AW10" s="7">
        <v>8</v>
      </c>
      <c r="AX10" s="7">
        <v>144986</v>
      </c>
      <c r="AY10" s="7">
        <v>154</v>
      </c>
      <c r="AZ10" s="6"/>
    </row>
    <row r="11" spans="1:52" x14ac:dyDescent="0.3">
      <c r="A11" s="4">
        <v>9</v>
      </c>
      <c r="B11" s="5" t="s">
        <v>86</v>
      </c>
      <c r="C11" s="45">
        <v>1</v>
      </c>
      <c r="D11" s="5" t="s">
        <v>87</v>
      </c>
      <c r="E11" s="5" t="s">
        <v>88</v>
      </c>
      <c r="F11" s="7">
        <v>63</v>
      </c>
      <c r="G11" s="7">
        <v>12</v>
      </c>
      <c r="H11" s="6">
        <v>10</v>
      </c>
      <c r="I11" s="6">
        <v>2</v>
      </c>
      <c r="J11" s="6">
        <v>0</v>
      </c>
      <c r="K11" s="7">
        <v>165614585</v>
      </c>
      <c r="L11" s="7">
        <v>154387925</v>
      </c>
      <c r="M11" s="7">
        <v>11226600</v>
      </c>
      <c r="N11" s="7">
        <v>165406702</v>
      </c>
      <c r="O11" s="30">
        <v>1.0029999999999999</v>
      </c>
      <c r="P11" s="7">
        <v>85598080</v>
      </c>
      <c r="Q11" s="7">
        <v>84518050</v>
      </c>
      <c r="R11" s="7">
        <v>12011</v>
      </c>
      <c r="S11" s="7">
        <v>190</v>
      </c>
      <c r="T11" s="26">
        <v>10881</v>
      </c>
      <c r="U11" s="26">
        <v>1130</v>
      </c>
      <c r="V11" s="36">
        <v>3552</v>
      </c>
      <c r="W11" s="25">
        <v>214</v>
      </c>
      <c r="X11" s="25">
        <v>71</v>
      </c>
      <c r="Y11" s="25">
        <v>421</v>
      </c>
      <c r="Z11" s="7">
        <v>23</v>
      </c>
      <c r="AA11" s="7">
        <v>8</v>
      </c>
      <c r="AB11" s="7">
        <v>15</v>
      </c>
      <c r="AC11" s="19" t="s">
        <v>64</v>
      </c>
      <c r="AD11" s="7">
        <v>9</v>
      </c>
      <c r="AE11" s="7">
        <v>224</v>
      </c>
      <c r="AF11" s="7">
        <v>1407</v>
      </c>
      <c r="AG11" s="7">
        <v>333</v>
      </c>
      <c r="AH11" s="19">
        <v>333</v>
      </c>
      <c r="AI11" s="19">
        <v>465</v>
      </c>
      <c r="AJ11" s="7">
        <v>131</v>
      </c>
      <c r="AK11" s="6">
        <f t="shared" si="0"/>
        <v>104</v>
      </c>
      <c r="AL11" s="6"/>
      <c r="AM11" s="6"/>
      <c r="AN11" s="6">
        <v>48</v>
      </c>
      <c r="AO11" s="6">
        <v>26</v>
      </c>
      <c r="AP11" s="6">
        <v>8</v>
      </c>
      <c r="AQ11" s="6">
        <v>3</v>
      </c>
      <c r="AR11" s="6">
        <v>19</v>
      </c>
      <c r="AS11" s="6">
        <v>0</v>
      </c>
      <c r="AT11" s="7">
        <v>31</v>
      </c>
      <c r="AU11" s="7">
        <v>3787</v>
      </c>
      <c r="AV11" s="30">
        <v>0.51219999999999999</v>
      </c>
      <c r="AW11" s="7">
        <v>15</v>
      </c>
      <c r="AX11" s="7">
        <v>392724</v>
      </c>
      <c r="AY11" s="7">
        <v>127</v>
      </c>
      <c r="AZ11" s="6"/>
    </row>
    <row r="12" spans="1:52" x14ac:dyDescent="0.3">
      <c r="A12" s="4">
        <v>10</v>
      </c>
      <c r="B12" s="5" t="s">
        <v>89</v>
      </c>
      <c r="C12" s="45">
        <v>1</v>
      </c>
      <c r="D12" s="5" t="s">
        <v>90</v>
      </c>
      <c r="E12" s="5" t="s">
        <v>91</v>
      </c>
      <c r="F12" s="7">
        <v>68</v>
      </c>
      <c r="G12" s="7">
        <v>3</v>
      </c>
      <c r="H12" s="6">
        <v>3</v>
      </c>
      <c r="I12" s="6">
        <v>0</v>
      </c>
      <c r="J12" s="6">
        <v>0</v>
      </c>
      <c r="K12" s="7">
        <v>178916618</v>
      </c>
      <c r="L12" s="7">
        <v>165522908</v>
      </c>
      <c r="M12" s="7">
        <v>13393710</v>
      </c>
      <c r="N12" s="7">
        <v>158807582</v>
      </c>
      <c r="O12" s="6"/>
      <c r="P12" s="7">
        <v>55902000</v>
      </c>
      <c r="Q12" s="21">
        <v>55902000</v>
      </c>
      <c r="R12" s="7">
        <v>8654</v>
      </c>
      <c r="S12" s="7">
        <v>127</v>
      </c>
      <c r="T12" s="25">
        <v>6981</v>
      </c>
      <c r="U12" s="25">
        <v>1673</v>
      </c>
      <c r="V12" s="31">
        <v>1459</v>
      </c>
      <c r="W12" s="25">
        <v>187</v>
      </c>
      <c r="X12" s="25">
        <v>107</v>
      </c>
      <c r="Y12" s="25">
        <v>363</v>
      </c>
      <c r="Z12" s="7">
        <v>26</v>
      </c>
      <c r="AA12" s="7">
        <v>7</v>
      </c>
      <c r="AB12" s="7">
        <v>19</v>
      </c>
      <c r="AC12" s="19" t="s">
        <v>64</v>
      </c>
      <c r="AD12" s="7">
        <v>12</v>
      </c>
      <c r="AE12" s="7">
        <v>62</v>
      </c>
      <c r="AF12" s="7">
        <v>1383</v>
      </c>
      <c r="AG12" s="7">
        <v>184</v>
      </c>
      <c r="AH12" s="19">
        <v>184</v>
      </c>
      <c r="AI12" s="19">
        <v>282</v>
      </c>
      <c r="AJ12" s="20">
        <v>200</v>
      </c>
      <c r="AK12" s="6">
        <f t="shared" si="0"/>
        <v>71</v>
      </c>
      <c r="AL12" s="6"/>
      <c r="AM12" s="6"/>
      <c r="AN12" s="6">
        <v>13</v>
      </c>
      <c r="AO12" s="6">
        <v>32</v>
      </c>
      <c r="AP12" s="6">
        <v>0</v>
      </c>
      <c r="AQ12" s="6">
        <v>25</v>
      </c>
      <c r="AR12" s="6">
        <v>1</v>
      </c>
      <c r="AS12" s="6">
        <v>0</v>
      </c>
      <c r="AT12" s="7">
        <v>26</v>
      </c>
      <c r="AU12" s="7">
        <v>4277</v>
      </c>
      <c r="AV12" s="30">
        <v>0.39100000000000001</v>
      </c>
      <c r="AW12" s="7">
        <v>13</v>
      </c>
      <c r="AX12" s="7">
        <v>400400</v>
      </c>
      <c r="AY12" s="7">
        <v>135</v>
      </c>
      <c r="AZ12" s="6"/>
    </row>
    <row r="13" spans="1:52" x14ac:dyDescent="0.3">
      <c r="A13" s="4">
        <v>11</v>
      </c>
      <c r="B13" s="5" t="s">
        <v>92</v>
      </c>
      <c r="C13" s="45">
        <v>0</v>
      </c>
      <c r="D13" s="5" t="s">
        <v>93</v>
      </c>
      <c r="E13" s="5" t="s">
        <v>94</v>
      </c>
      <c r="F13" s="7">
        <v>10</v>
      </c>
      <c r="G13" s="6">
        <v>0</v>
      </c>
      <c r="H13" s="6">
        <v>0</v>
      </c>
      <c r="I13" s="6">
        <v>0</v>
      </c>
      <c r="J13" s="6">
        <v>0</v>
      </c>
      <c r="K13" s="7">
        <v>152040</v>
      </c>
      <c r="L13" s="25">
        <v>152040</v>
      </c>
      <c r="M13" s="25">
        <v>0</v>
      </c>
      <c r="N13" s="25">
        <v>0</v>
      </c>
      <c r="O13" s="6"/>
      <c r="P13" s="7">
        <v>77640000</v>
      </c>
      <c r="Q13" s="6">
        <v>0</v>
      </c>
      <c r="R13" s="7">
        <v>1251</v>
      </c>
      <c r="S13" s="7">
        <v>125</v>
      </c>
      <c r="T13" s="25">
        <v>0</v>
      </c>
      <c r="U13" s="25">
        <v>1251</v>
      </c>
      <c r="V13" s="27" t="s">
        <v>64</v>
      </c>
      <c r="W13" s="27" t="s">
        <v>64</v>
      </c>
      <c r="X13" s="27" t="s">
        <v>64</v>
      </c>
      <c r="Y13" s="27" t="s">
        <v>64</v>
      </c>
      <c r="Z13" s="7">
        <v>1</v>
      </c>
      <c r="AA13" s="7">
        <v>1</v>
      </c>
      <c r="AB13" s="6">
        <v>0</v>
      </c>
      <c r="AC13" s="19" t="s">
        <v>64</v>
      </c>
      <c r="AD13" s="7">
        <v>1</v>
      </c>
      <c r="AE13" s="19" t="s">
        <v>64</v>
      </c>
      <c r="AF13" s="7">
        <v>35</v>
      </c>
      <c r="AG13" s="19" t="s">
        <v>64</v>
      </c>
      <c r="AH13" s="19" t="s">
        <v>64</v>
      </c>
      <c r="AI13" s="19" t="s">
        <v>64</v>
      </c>
      <c r="AJ13" s="6">
        <v>35</v>
      </c>
      <c r="AK13" s="6">
        <f t="shared" si="0"/>
        <v>6</v>
      </c>
      <c r="AL13" s="6"/>
      <c r="AM13" s="6"/>
      <c r="AN13" s="6">
        <v>0</v>
      </c>
      <c r="AO13" s="6">
        <v>0</v>
      </c>
      <c r="AP13" s="6">
        <v>0</v>
      </c>
      <c r="AQ13" s="6">
        <v>0</v>
      </c>
      <c r="AR13" s="6">
        <v>6</v>
      </c>
      <c r="AS13" s="6">
        <v>55</v>
      </c>
      <c r="AT13" s="7">
        <v>12</v>
      </c>
      <c r="AU13" s="19" t="s">
        <v>64</v>
      </c>
      <c r="AV13" s="30">
        <v>0.32600000000000001</v>
      </c>
      <c r="AW13" s="7">
        <v>1</v>
      </c>
      <c r="AX13" s="7">
        <v>10364</v>
      </c>
      <c r="AY13" s="7">
        <v>135</v>
      </c>
      <c r="AZ13" s="6"/>
    </row>
    <row r="14" spans="1:52" x14ac:dyDescent="0.3">
      <c r="A14" s="4">
        <v>12</v>
      </c>
      <c r="B14" s="5" t="s">
        <v>95</v>
      </c>
      <c r="C14" s="45">
        <v>1</v>
      </c>
      <c r="D14" s="5" t="s">
        <v>96</v>
      </c>
      <c r="E14" s="5" t="s">
        <v>97</v>
      </c>
      <c r="F14" s="7">
        <v>52</v>
      </c>
      <c r="G14" s="6">
        <v>1</v>
      </c>
      <c r="H14" s="6">
        <v>1</v>
      </c>
      <c r="I14" s="6">
        <v>0</v>
      </c>
      <c r="J14" s="6">
        <v>0</v>
      </c>
      <c r="K14" s="7">
        <v>142438012</v>
      </c>
      <c r="L14" s="7">
        <v>130518540</v>
      </c>
      <c r="M14" s="7">
        <v>11919472</v>
      </c>
      <c r="N14" s="7">
        <v>137001991</v>
      </c>
      <c r="O14" s="6"/>
      <c r="P14" s="7">
        <v>49574000</v>
      </c>
      <c r="Q14" s="25">
        <v>49574000</v>
      </c>
      <c r="R14" s="7">
        <v>7009</v>
      </c>
      <c r="S14" s="7">
        <v>135</v>
      </c>
      <c r="T14" s="25">
        <v>6133</v>
      </c>
      <c r="U14" s="38">
        <v>874</v>
      </c>
      <c r="V14" s="31">
        <v>1546</v>
      </c>
      <c r="W14" s="25">
        <v>125</v>
      </c>
      <c r="X14" s="25">
        <v>51</v>
      </c>
      <c r="Y14" s="25">
        <v>301</v>
      </c>
      <c r="Z14" s="7">
        <v>22</v>
      </c>
      <c r="AA14" s="7">
        <v>7</v>
      </c>
      <c r="AB14" s="7">
        <v>15</v>
      </c>
      <c r="AC14" s="19" t="s">
        <v>64</v>
      </c>
      <c r="AD14" s="7">
        <v>8</v>
      </c>
      <c r="AE14" s="7">
        <v>27</v>
      </c>
      <c r="AF14" s="7">
        <v>719</v>
      </c>
      <c r="AG14" s="7">
        <v>168</v>
      </c>
      <c r="AH14" s="19">
        <v>168</v>
      </c>
      <c r="AI14" s="19">
        <v>204</v>
      </c>
      <c r="AJ14" s="20">
        <v>230</v>
      </c>
      <c r="AK14" s="6">
        <f t="shared" si="0"/>
        <v>28</v>
      </c>
      <c r="AL14" s="6"/>
      <c r="AM14" s="6"/>
      <c r="AN14" s="6">
        <v>17</v>
      </c>
      <c r="AO14" s="6">
        <v>7</v>
      </c>
      <c r="AP14" s="6">
        <v>0</v>
      </c>
      <c r="AQ14" s="6">
        <v>2</v>
      </c>
      <c r="AR14" s="6">
        <v>2</v>
      </c>
      <c r="AS14" s="6">
        <v>0</v>
      </c>
      <c r="AT14" s="7">
        <v>26</v>
      </c>
      <c r="AU14" s="7">
        <v>3716</v>
      </c>
      <c r="AV14" s="30">
        <v>0.32400000000000001</v>
      </c>
      <c r="AW14" s="7">
        <v>11</v>
      </c>
      <c r="AX14" s="7">
        <v>330529</v>
      </c>
      <c r="AY14" s="7">
        <v>183</v>
      </c>
      <c r="AZ14" s="6"/>
    </row>
    <row r="15" spans="1:52" x14ac:dyDescent="0.3">
      <c r="A15" s="4">
        <v>13</v>
      </c>
      <c r="B15" s="5" t="s">
        <v>98</v>
      </c>
      <c r="C15" s="45">
        <v>1</v>
      </c>
      <c r="D15" s="5" t="s">
        <v>99</v>
      </c>
      <c r="E15" s="14" t="s">
        <v>100</v>
      </c>
      <c r="F15" s="7">
        <v>45</v>
      </c>
      <c r="G15" s="6">
        <v>3</v>
      </c>
      <c r="H15" s="6">
        <v>3</v>
      </c>
      <c r="I15" s="6">
        <v>0</v>
      </c>
      <c r="J15" s="6">
        <v>0</v>
      </c>
      <c r="K15" s="7">
        <v>122640481</v>
      </c>
      <c r="L15" s="7">
        <v>113284991</v>
      </c>
      <c r="M15" s="7">
        <v>9355490</v>
      </c>
      <c r="N15" s="7">
        <v>106973190</v>
      </c>
      <c r="O15" s="6"/>
      <c r="P15" s="7">
        <v>112943550</v>
      </c>
      <c r="Q15" s="25">
        <v>112943550</v>
      </c>
      <c r="R15" s="7">
        <v>14628</v>
      </c>
      <c r="S15" s="7">
        <v>325</v>
      </c>
      <c r="T15" s="26">
        <v>13730</v>
      </c>
      <c r="U15" s="26">
        <v>898</v>
      </c>
      <c r="V15" s="31">
        <v>4315</v>
      </c>
      <c r="W15" s="25">
        <v>45</v>
      </c>
      <c r="X15" s="25">
        <v>37</v>
      </c>
      <c r="Y15" s="25">
        <v>158</v>
      </c>
      <c r="Z15" s="7">
        <v>21</v>
      </c>
      <c r="AA15" s="7">
        <v>8</v>
      </c>
      <c r="AB15" s="7">
        <v>13</v>
      </c>
      <c r="AC15" s="19" t="s">
        <v>64</v>
      </c>
      <c r="AD15" s="6">
        <v>6</v>
      </c>
      <c r="AE15" s="6">
        <v>6</v>
      </c>
      <c r="AF15" s="7">
        <v>479</v>
      </c>
      <c r="AG15" s="19" t="s">
        <v>64</v>
      </c>
      <c r="AH15" s="19" t="s">
        <v>64</v>
      </c>
      <c r="AI15" s="19" t="s">
        <v>64</v>
      </c>
      <c r="AJ15" s="20">
        <v>330</v>
      </c>
      <c r="AK15" s="6">
        <f t="shared" si="0"/>
        <v>14</v>
      </c>
      <c r="AL15" s="6"/>
      <c r="AM15" s="6"/>
      <c r="AN15" s="6">
        <v>0</v>
      </c>
      <c r="AO15" s="6">
        <v>0</v>
      </c>
      <c r="AP15" s="6">
        <v>0</v>
      </c>
      <c r="AQ15" s="6">
        <v>14</v>
      </c>
      <c r="AR15" s="6">
        <v>0</v>
      </c>
      <c r="AS15" s="6">
        <v>0</v>
      </c>
      <c r="AT15" s="7">
        <v>24</v>
      </c>
      <c r="AU15" s="7">
        <v>3632</v>
      </c>
      <c r="AV15" s="30">
        <v>0.33500000000000002</v>
      </c>
      <c r="AW15" s="6">
        <v>12</v>
      </c>
      <c r="AX15" s="7">
        <v>1057337</v>
      </c>
      <c r="AY15" s="7">
        <v>198</v>
      </c>
      <c r="AZ15" s="6"/>
    </row>
    <row r="16" spans="1:52" x14ac:dyDescent="0.3">
      <c r="A16" s="4">
        <v>14</v>
      </c>
      <c r="B16" s="43" t="s">
        <v>164</v>
      </c>
      <c r="C16" s="45">
        <v>2</v>
      </c>
      <c r="D16" s="5" t="s">
        <v>101</v>
      </c>
      <c r="E16" s="14" t="s">
        <v>102</v>
      </c>
      <c r="F16" s="6">
        <v>39</v>
      </c>
      <c r="G16" s="6">
        <v>5</v>
      </c>
      <c r="H16" s="6">
        <v>5</v>
      </c>
      <c r="I16" s="6">
        <v>0</v>
      </c>
      <c r="J16" s="6">
        <v>10</v>
      </c>
      <c r="K16" s="7">
        <v>6125963</v>
      </c>
      <c r="L16" s="25">
        <v>150200</v>
      </c>
      <c r="M16" s="25">
        <v>5975763</v>
      </c>
      <c r="N16" s="6"/>
      <c r="O16" s="6"/>
      <c r="P16" s="19" t="s">
        <v>64</v>
      </c>
      <c r="Q16" s="19" t="s">
        <v>64</v>
      </c>
      <c r="R16" s="7">
        <v>800</v>
      </c>
      <c r="S16" s="6">
        <v>21</v>
      </c>
      <c r="T16" s="28" t="s">
        <v>64</v>
      </c>
      <c r="U16" s="25">
        <v>800</v>
      </c>
      <c r="V16" s="27" t="s">
        <v>64</v>
      </c>
      <c r="W16" s="27" t="s">
        <v>64</v>
      </c>
      <c r="X16" s="27" t="s">
        <v>64</v>
      </c>
      <c r="Y16" s="27" t="s">
        <v>64</v>
      </c>
      <c r="Z16" s="27" t="s">
        <v>64</v>
      </c>
      <c r="AA16" s="27" t="s">
        <v>64</v>
      </c>
      <c r="AB16" s="27" t="s">
        <v>64</v>
      </c>
      <c r="AC16" s="19" t="s">
        <v>64</v>
      </c>
      <c r="AD16" s="7">
        <v>3</v>
      </c>
      <c r="AE16" s="27" t="s">
        <v>64</v>
      </c>
      <c r="AF16" s="7">
        <v>124</v>
      </c>
      <c r="AG16" s="27" t="s">
        <v>64</v>
      </c>
      <c r="AH16" s="19" t="s">
        <v>64</v>
      </c>
      <c r="AI16" s="19" t="s">
        <v>64</v>
      </c>
      <c r="AJ16" s="27" t="s">
        <v>64</v>
      </c>
      <c r="AK16" s="7">
        <f t="shared" si="0"/>
        <v>39</v>
      </c>
      <c r="AL16" s="7"/>
      <c r="AM16" s="7"/>
      <c r="AN16" s="6">
        <v>39</v>
      </c>
      <c r="AO16" s="6">
        <v>0</v>
      </c>
      <c r="AP16" s="6">
        <v>0</v>
      </c>
      <c r="AQ16" s="6">
        <v>0</v>
      </c>
      <c r="AR16" s="6">
        <v>0</v>
      </c>
      <c r="AS16" s="6">
        <v>1</v>
      </c>
      <c r="AT16" s="7">
        <v>10</v>
      </c>
      <c r="AU16" s="19" t="s">
        <v>64</v>
      </c>
      <c r="AV16" s="19" t="s">
        <v>64</v>
      </c>
      <c r="AW16" s="6">
        <v>2</v>
      </c>
      <c r="AX16" s="19"/>
      <c r="AY16" s="19" t="s">
        <v>64</v>
      </c>
      <c r="AZ16" s="6"/>
    </row>
    <row r="17" spans="1:52" x14ac:dyDescent="0.3">
      <c r="A17" s="4">
        <v>15</v>
      </c>
      <c r="B17" s="43" t="s">
        <v>165</v>
      </c>
      <c r="C17" s="45">
        <v>2</v>
      </c>
      <c r="D17" s="14" t="s">
        <v>103</v>
      </c>
      <c r="E17" s="14" t="s">
        <v>104</v>
      </c>
      <c r="F17" s="6">
        <v>49</v>
      </c>
      <c r="G17" s="6">
        <v>5</v>
      </c>
      <c r="H17" s="6">
        <v>5</v>
      </c>
      <c r="I17" s="6">
        <v>0</v>
      </c>
      <c r="J17" s="6">
        <v>10</v>
      </c>
      <c r="K17" s="22" t="s">
        <v>64</v>
      </c>
      <c r="L17" s="28" t="s">
        <v>64</v>
      </c>
      <c r="M17" s="28" t="s">
        <v>64</v>
      </c>
      <c r="N17" s="6"/>
      <c r="O17" s="6"/>
      <c r="P17" s="28" t="s">
        <v>64</v>
      </c>
      <c r="Q17" s="28" t="s">
        <v>64</v>
      </c>
      <c r="R17" s="7">
        <v>960</v>
      </c>
      <c r="S17" s="6">
        <v>20</v>
      </c>
      <c r="T17" s="28" t="s">
        <v>64</v>
      </c>
      <c r="U17" s="25">
        <v>960</v>
      </c>
      <c r="V17" s="27" t="s">
        <v>64</v>
      </c>
      <c r="W17" s="27" t="s">
        <v>64</v>
      </c>
      <c r="X17" s="27" t="s">
        <v>64</v>
      </c>
      <c r="Y17" s="27" t="s">
        <v>64</v>
      </c>
      <c r="Z17" s="27" t="s">
        <v>64</v>
      </c>
      <c r="AA17" s="27" t="s">
        <v>64</v>
      </c>
      <c r="AB17" s="27" t="s">
        <v>64</v>
      </c>
      <c r="AC17" s="19"/>
      <c r="AD17" s="7">
        <v>1</v>
      </c>
      <c r="AE17" s="27" t="s">
        <v>64</v>
      </c>
      <c r="AF17" s="7">
        <v>30</v>
      </c>
      <c r="AG17" s="27" t="s">
        <v>64</v>
      </c>
      <c r="AH17" s="19" t="s">
        <v>64</v>
      </c>
      <c r="AI17" s="19" t="s">
        <v>64</v>
      </c>
      <c r="AJ17" s="6">
        <v>30</v>
      </c>
      <c r="AK17" s="7">
        <f t="shared" si="0"/>
        <v>39</v>
      </c>
      <c r="AL17" s="7"/>
      <c r="AM17" s="7"/>
      <c r="AN17" s="6">
        <v>39</v>
      </c>
      <c r="AO17" s="6">
        <v>0</v>
      </c>
      <c r="AP17" s="6">
        <v>0</v>
      </c>
      <c r="AQ17" s="6">
        <v>0</v>
      </c>
      <c r="AR17" s="6">
        <v>0</v>
      </c>
      <c r="AS17" s="6">
        <v>1</v>
      </c>
      <c r="AT17" s="7"/>
      <c r="AU17" s="19" t="s">
        <v>64</v>
      </c>
      <c r="AV17" s="19" t="s">
        <v>64</v>
      </c>
      <c r="AW17" s="6"/>
      <c r="AX17" s="19"/>
      <c r="AY17" s="19" t="s">
        <v>64</v>
      </c>
      <c r="AZ17" s="6"/>
    </row>
    <row r="18" spans="1:52" x14ac:dyDescent="0.3">
      <c r="A18" s="4">
        <v>16</v>
      </c>
      <c r="B18" s="5" t="s">
        <v>105</v>
      </c>
      <c r="C18" s="45">
        <v>1</v>
      </c>
      <c r="D18" s="5" t="s">
        <v>106</v>
      </c>
      <c r="E18" s="14" t="s">
        <v>107</v>
      </c>
      <c r="F18" s="7">
        <v>57</v>
      </c>
      <c r="G18" s="6">
        <v>17</v>
      </c>
      <c r="H18" s="6">
        <v>12</v>
      </c>
      <c r="I18" s="6">
        <v>3</v>
      </c>
      <c r="J18" s="6">
        <v>2</v>
      </c>
      <c r="K18" s="7">
        <v>191362240</v>
      </c>
      <c r="L18" s="7">
        <v>160825905</v>
      </c>
      <c r="M18" s="7">
        <v>30536335</v>
      </c>
      <c r="N18" s="7">
        <v>178748077</v>
      </c>
      <c r="O18" s="6"/>
      <c r="P18" s="7">
        <v>22373000</v>
      </c>
      <c r="Q18" s="25">
        <v>22373000</v>
      </c>
      <c r="R18" s="7">
        <v>3740</v>
      </c>
      <c r="S18" s="7">
        <v>66</v>
      </c>
      <c r="T18" s="25">
        <v>2842</v>
      </c>
      <c r="U18" s="25">
        <v>898</v>
      </c>
      <c r="V18" s="31">
        <v>667</v>
      </c>
      <c r="W18" s="25">
        <v>177</v>
      </c>
      <c r="X18" s="25">
        <v>47</v>
      </c>
      <c r="Y18" s="25">
        <v>176</v>
      </c>
      <c r="Z18" s="7">
        <v>19</v>
      </c>
      <c r="AA18" s="7">
        <v>8</v>
      </c>
      <c r="AB18" s="7">
        <v>11</v>
      </c>
      <c r="AC18" s="19" t="s">
        <v>64</v>
      </c>
      <c r="AD18" s="7">
        <v>8</v>
      </c>
      <c r="AE18" s="7">
        <v>34</v>
      </c>
      <c r="AF18" s="7">
        <v>527</v>
      </c>
      <c r="AG18" s="7">
        <v>52</v>
      </c>
      <c r="AH18" s="19">
        <v>52</v>
      </c>
      <c r="AI18" s="19">
        <v>336</v>
      </c>
      <c r="AJ18" s="7">
        <v>107</v>
      </c>
      <c r="AK18" s="6">
        <f t="shared" si="0"/>
        <v>98</v>
      </c>
      <c r="AL18" s="6"/>
      <c r="AM18" s="6"/>
      <c r="AN18" s="6">
        <v>92</v>
      </c>
      <c r="AO18" s="6">
        <v>4</v>
      </c>
      <c r="AP18" s="6">
        <v>0</v>
      </c>
      <c r="AQ18" s="6">
        <v>0</v>
      </c>
      <c r="AR18" s="6">
        <v>2</v>
      </c>
      <c r="AS18" s="6">
        <v>0</v>
      </c>
      <c r="AT18" s="7">
        <v>30</v>
      </c>
      <c r="AU18" s="7">
        <v>3567</v>
      </c>
      <c r="AV18" s="30">
        <v>0.33600000000000002</v>
      </c>
      <c r="AW18" s="7">
        <v>14</v>
      </c>
      <c r="AX18" s="7">
        <v>689513</v>
      </c>
      <c r="AY18" s="7">
        <v>167</v>
      </c>
      <c r="AZ18" s="6"/>
    </row>
    <row r="19" spans="1:52" x14ac:dyDescent="0.3">
      <c r="A19" s="4">
        <v>17</v>
      </c>
      <c r="B19" s="5" t="s">
        <v>108</v>
      </c>
      <c r="C19" s="45">
        <v>3</v>
      </c>
      <c r="D19" s="5" t="s">
        <v>109</v>
      </c>
      <c r="E19" s="14" t="s">
        <v>110</v>
      </c>
      <c r="F19" s="7">
        <v>15</v>
      </c>
      <c r="G19" s="6">
        <v>1</v>
      </c>
      <c r="H19" s="6">
        <v>1</v>
      </c>
      <c r="I19" s="6">
        <v>0</v>
      </c>
      <c r="J19" s="6">
        <v>0</v>
      </c>
      <c r="K19" s="7">
        <v>559986</v>
      </c>
      <c r="L19" s="25">
        <v>359400</v>
      </c>
      <c r="M19" s="25">
        <v>200586</v>
      </c>
      <c r="N19" s="25">
        <v>0</v>
      </c>
      <c r="O19" s="6"/>
      <c r="P19" s="7">
        <v>209000000</v>
      </c>
      <c r="Q19" s="28" t="s">
        <v>64</v>
      </c>
      <c r="R19" s="7">
        <v>14021</v>
      </c>
      <c r="S19" s="7">
        <v>933</v>
      </c>
      <c r="T19" s="25">
        <v>14021</v>
      </c>
      <c r="U19" s="25">
        <v>0</v>
      </c>
      <c r="V19" s="31">
        <v>0</v>
      </c>
      <c r="W19" s="25">
        <v>0</v>
      </c>
      <c r="X19" s="25">
        <v>0</v>
      </c>
      <c r="Y19" s="25">
        <v>0</v>
      </c>
      <c r="Z19" s="27" t="s">
        <v>64</v>
      </c>
      <c r="AA19" s="27" t="s">
        <v>64</v>
      </c>
      <c r="AB19" s="27" t="s">
        <v>64</v>
      </c>
      <c r="AC19" s="19" t="s">
        <v>64</v>
      </c>
      <c r="AD19" s="19" t="s">
        <v>64</v>
      </c>
      <c r="AE19" s="19" t="s">
        <v>64</v>
      </c>
      <c r="AF19" s="19" t="s">
        <v>64</v>
      </c>
      <c r="AG19" s="19" t="s">
        <v>64</v>
      </c>
      <c r="AH19" s="19" t="s">
        <v>64</v>
      </c>
      <c r="AI19" s="19" t="s">
        <v>64</v>
      </c>
      <c r="AJ19" s="19" t="s">
        <v>64</v>
      </c>
      <c r="AK19" s="6">
        <f t="shared" si="0"/>
        <v>5</v>
      </c>
      <c r="AL19" s="6"/>
      <c r="AM19" s="6"/>
      <c r="AN19" s="6">
        <v>0</v>
      </c>
      <c r="AO19" s="6">
        <v>5</v>
      </c>
      <c r="AP19" s="6"/>
      <c r="AQ19" s="6"/>
      <c r="AR19" s="6"/>
      <c r="AS19" s="7">
        <v>5</v>
      </c>
      <c r="AT19" s="7">
        <v>24</v>
      </c>
      <c r="AU19" s="19" t="s">
        <v>64</v>
      </c>
      <c r="AV19" s="19" t="s">
        <v>64</v>
      </c>
      <c r="AW19" s="6">
        <v>1</v>
      </c>
      <c r="AX19" s="6"/>
      <c r="AY19" s="19" t="s">
        <v>64</v>
      </c>
      <c r="AZ19" s="6"/>
    </row>
    <row r="20" spans="1:52" x14ac:dyDescent="0.3">
      <c r="A20" s="4">
        <v>18</v>
      </c>
      <c r="B20" s="5" t="s">
        <v>111</v>
      </c>
      <c r="C20" s="45">
        <v>2</v>
      </c>
      <c r="D20" s="5" t="s">
        <v>112</v>
      </c>
      <c r="E20" s="5" t="s">
        <v>113</v>
      </c>
      <c r="F20" s="7">
        <v>25</v>
      </c>
      <c r="G20" s="6">
        <v>4</v>
      </c>
      <c r="H20" s="6">
        <v>4</v>
      </c>
      <c r="I20" s="6">
        <v>0</v>
      </c>
      <c r="J20" s="6">
        <v>0</v>
      </c>
      <c r="K20" s="7">
        <v>11688846</v>
      </c>
      <c r="L20" s="25">
        <v>11676686</v>
      </c>
      <c r="M20" s="25">
        <v>12160</v>
      </c>
      <c r="N20" s="25">
        <v>9901403</v>
      </c>
      <c r="O20" s="6"/>
      <c r="P20" s="7">
        <v>48400000</v>
      </c>
      <c r="Q20" s="28" t="s">
        <v>64</v>
      </c>
      <c r="R20" s="7">
        <v>3504</v>
      </c>
      <c r="S20" s="7">
        <v>140</v>
      </c>
      <c r="T20" s="39">
        <v>0</v>
      </c>
      <c r="U20" s="25">
        <v>3504</v>
      </c>
      <c r="V20" s="31">
        <v>0</v>
      </c>
      <c r="W20" s="25">
        <v>0</v>
      </c>
      <c r="X20" s="25">
        <v>0</v>
      </c>
      <c r="Y20" s="25">
        <v>0</v>
      </c>
      <c r="Z20" s="7">
        <v>17</v>
      </c>
      <c r="AA20" s="7">
        <v>4</v>
      </c>
      <c r="AB20" s="7">
        <v>13</v>
      </c>
      <c r="AC20" s="19" t="s">
        <v>64</v>
      </c>
      <c r="AD20" s="19" t="s">
        <v>64</v>
      </c>
      <c r="AE20" s="19" t="s">
        <v>64</v>
      </c>
      <c r="AF20" s="19" t="s">
        <v>64</v>
      </c>
      <c r="AG20" s="19" t="s">
        <v>64</v>
      </c>
      <c r="AH20" s="19" t="s">
        <v>64</v>
      </c>
      <c r="AI20" s="19" t="s">
        <v>64</v>
      </c>
      <c r="AJ20" s="19">
        <v>110</v>
      </c>
      <c r="AK20" s="6">
        <f t="shared" si="0"/>
        <v>58</v>
      </c>
      <c r="AL20" s="6"/>
      <c r="AM20" s="6"/>
      <c r="AN20" s="6">
        <v>0</v>
      </c>
      <c r="AO20" s="6">
        <v>0</v>
      </c>
      <c r="AP20" s="6">
        <v>33</v>
      </c>
      <c r="AQ20" s="7">
        <v>10</v>
      </c>
      <c r="AR20" s="7">
        <v>15</v>
      </c>
      <c r="AS20" s="7">
        <v>52</v>
      </c>
      <c r="AT20" s="7">
        <v>23</v>
      </c>
      <c r="AU20" s="19" t="s">
        <v>64</v>
      </c>
      <c r="AV20" s="29">
        <v>0.31900000000000001</v>
      </c>
      <c r="AW20" s="6">
        <v>5</v>
      </c>
      <c r="AX20" s="6"/>
      <c r="AY20" s="19" t="s">
        <v>64</v>
      </c>
      <c r="AZ20" s="6"/>
    </row>
    <row r="25" spans="1:52" ht="209.25" customHeight="1" x14ac:dyDescent="0.3"/>
  </sheetData>
  <mergeCells count="9">
    <mergeCell ref="B1:F1"/>
    <mergeCell ref="Q1:W1"/>
    <mergeCell ref="AC1:AI1"/>
    <mergeCell ref="Y1:AB1"/>
    <mergeCell ref="AS1:AW1"/>
    <mergeCell ref="AJ1:AR1"/>
    <mergeCell ref="AX1:AY1"/>
    <mergeCell ref="O1:P1"/>
    <mergeCell ref="J1:N1"/>
  </mergeCells>
  <phoneticPr fontId="7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A26" sqref="A26"/>
    </sheetView>
  </sheetViews>
  <sheetFormatPr defaultRowHeight="16.5" x14ac:dyDescent="0.3"/>
  <cols>
    <col min="1" max="1" width="25" style="24" customWidth="1"/>
    <col min="2" max="3" width="8" style="24" customWidth="1"/>
    <col min="4" max="4" width="40" style="24" customWidth="1"/>
  </cols>
  <sheetData>
    <row r="1" spans="1:4" x14ac:dyDescent="0.3">
      <c r="A1" s="8" t="s">
        <v>114</v>
      </c>
    </row>
    <row r="3" spans="1:4" x14ac:dyDescent="0.3">
      <c r="A3" s="9"/>
      <c r="B3" s="10" t="s">
        <v>115</v>
      </c>
    </row>
    <row r="4" spans="1:4" x14ac:dyDescent="0.3">
      <c r="A4" s="11"/>
      <c r="B4" s="10" t="s">
        <v>116</v>
      </c>
    </row>
    <row r="6" spans="1:4" x14ac:dyDescent="0.3">
      <c r="A6" s="12" t="s">
        <v>117</v>
      </c>
    </row>
    <row r="7" spans="1:4" x14ac:dyDescent="0.3">
      <c r="A7" s="13" t="s">
        <v>118</v>
      </c>
      <c r="B7" s="13" t="s">
        <v>119</v>
      </c>
      <c r="C7" s="13" t="s">
        <v>120</v>
      </c>
      <c r="D7" s="13" t="s">
        <v>121</v>
      </c>
    </row>
    <row r="8" spans="1:4" x14ac:dyDescent="0.3">
      <c r="A8" s="10" t="s">
        <v>10</v>
      </c>
      <c r="B8" s="10" t="s">
        <v>122</v>
      </c>
      <c r="C8" s="10" t="s">
        <v>123</v>
      </c>
      <c r="D8" s="10"/>
    </row>
    <row r="9" spans="1:4" x14ac:dyDescent="0.3">
      <c r="A9" s="10" t="s">
        <v>12</v>
      </c>
      <c r="B9" s="10" t="s">
        <v>122</v>
      </c>
      <c r="C9" s="10" t="s">
        <v>123</v>
      </c>
      <c r="D9" s="10"/>
    </row>
    <row r="10" spans="1:4" x14ac:dyDescent="0.3">
      <c r="A10" s="10" t="s">
        <v>13</v>
      </c>
      <c r="B10" s="10" t="s">
        <v>124</v>
      </c>
      <c r="C10" s="10" t="s">
        <v>125</v>
      </c>
      <c r="D10" s="10"/>
    </row>
    <row r="11" spans="1:4" x14ac:dyDescent="0.3">
      <c r="A11" s="10" t="s">
        <v>14</v>
      </c>
      <c r="B11" s="10" t="s">
        <v>126</v>
      </c>
      <c r="C11" s="10" t="s">
        <v>127</v>
      </c>
      <c r="D11" s="10"/>
    </row>
    <row r="12" spans="1:4" x14ac:dyDescent="0.3">
      <c r="A12" s="10" t="s">
        <v>128</v>
      </c>
      <c r="B12" s="10" t="s">
        <v>129</v>
      </c>
      <c r="C12" s="10" t="s">
        <v>130</v>
      </c>
      <c r="D12" s="10"/>
    </row>
    <row r="13" spans="1:4" x14ac:dyDescent="0.3">
      <c r="A13" s="10" t="s">
        <v>131</v>
      </c>
      <c r="B13" s="10" t="s">
        <v>124</v>
      </c>
      <c r="C13" s="10" t="s">
        <v>125</v>
      </c>
      <c r="D13" s="10"/>
    </row>
    <row r="14" spans="1:4" x14ac:dyDescent="0.3">
      <c r="A14" s="10" t="s">
        <v>19</v>
      </c>
      <c r="B14" s="10" t="s">
        <v>126</v>
      </c>
      <c r="C14" s="10" t="s">
        <v>127</v>
      </c>
      <c r="D14" s="10"/>
    </row>
    <row r="15" spans="1:4" x14ac:dyDescent="0.3">
      <c r="A15" s="10" t="s">
        <v>20</v>
      </c>
      <c r="B15" s="10" t="s">
        <v>129</v>
      </c>
      <c r="C15" s="10" t="s">
        <v>130</v>
      </c>
      <c r="D15" s="10"/>
    </row>
    <row r="16" spans="1:4" x14ac:dyDescent="0.3">
      <c r="A16" s="10" t="s">
        <v>21</v>
      </c>
      <c r="B16" s="10" t="s">
        <v>129</v>
      </c>
      <c r="C16" s="10" t="s">
        <v>130</v>
      </c>
      <c r="D16" s="10"/>
    </row>
    <row r="17" spans="1:4" x14ac:dyDescent="0.3">
      <c r="A17" s="10" t="s">
        <v>22</v>
      </c>
      <c r="B17" s="10" t="s">
        <v>132</v>
      </c>
      <c r="C17" s="10" t="s">
        <v>133</v>
      </c>
      <c r="D17" s="10"/>
    </row>
    <row r="18" spans="1:4" x14ac:dyDescent="0.3">
      <c r="A18" s="10" t="s">
        <v>23</v>
      </c>
      <c r="B18" s="10" t="s">
        <v>129</v>
      </c>
      <c r="C18" s="10" t="s">
        <v>130</v>
      </c>
      <c r="D18" s="10"/>
    </row>
    <row r="19" spans="1:4" x14ac:dyDescent="0.3">
      <c r="A19" s="10" t="s">
        <v>24</v>
      </c>
      <c r="B19" s="10" t="s">
        <v>126</v>
      </c>
      <c r="C19" s="10" t="s">
        <v>127</v>
      </c>
      <c r="D19" s="10"/>
    </row>
    <row r="20" spans="1:4" x14ac:dyDescent="0.3">
      <c r="A20" s="10" t="s">
        <v>25</v>
      </c>
      <c r="B20" s="10" t="s">
        <v>134</v>
      </c>
      <c r="C20" s="10" t="s">
        <v>135</v>
      </c>
      <c r="D20" s="10"/>
    </row>
    <row r="21" spans="1:4" x14ac:dyDescent="0.3">
      <c r="A21" s="10" t="s">
        <v>26</v>
      </c>
      <c r="B21" s="10" t="s">
        <v>122</v>
      </c>
      <c r="C21" s="10" t="s">
        <v>123</v>
      </c>
      <c r="D21" s="10"/>
    </row>
    <row r="22" spans="1:4" x14ac:dyDescent="0.3">
      <c r="A22" s="10" t="s">
        <v>27</v>
      </c>
      <c r="B22" s="10" t="s">
        <v>126</v>
      </c>
      <c r="C22" s="10" t="s">
        <v>127</v>
      </c>
      <c r="D22" s="10"/>
    </row>
    <row r="23" spans="1:4" x14ac:dyDescent="0.3">
      <c r="A23" s="10" t="s">
        <v>28</v>
      </c>
      <c r="B23" s="10" t="s">
        <v>136</v>
      </c>
      <c r="C23" s="10" t="s">
        <v>137</v>
      </c>
      <c r="D23" s="10" t="s">
        <v>138</v>
      </c>
    </row>
    <row r="24" spans="1:4" x14ac:dyDescent="0.3">
      <c r="A24" s="10" t="s">
        <v>29</v>
      </c>
      <c r="B24" s="10" t="s">
        <v>136</v>
      </c>
      <c r="C24" s="10" t="s">
        <v>137</v>
      </c>
      <c r="D24" s="10" t="s">
        <v>139</v>
      </c>
    </row>
    <row r="25" spans="1:4" x14ac:dyDescent="0.3">
      <c r="A25" s="10" t="s">
        <v>140</v>
      </c>
      <c r="B25" s="10" t="s">
        <v>141</v>
      </c>
      <c r="C25" s="10" t="s">
        <v>142</v>
      </c>
      <c r="D25" s="10" t="s">
        <v>143</v>
      </c>
    </row>
    <row r="26" spans="1:4" x14ac:dyDescent="0.3">
      <c r="A26" s="10" t="s">
        <v>31</v>
      </c>
      <c r="B26" s="10" t="s">
        <v>144</v>
      </c>
      <c r="C26" s="10" t="s">
        <v>145</v>
      </c>
      <c r="D26" s="10" t="s">
        <v>146</v>
      </c>
    </row>
    <row r="27" spans="1:4" x14ac:dyDescent="0.3">
      <c r="A27" s="10" t="s">
        <v>32</v>
      </c>
      <c r="B27" s="10" t="s">
        <v>147</v>
      </c>
      <c r="C27" s="10" t="s">
        <v>148</v>
      </c>
      <c r="D27" s="10" t="s">
        <v>149</v>
      </c>
    </row>
    <row r="28" spans="1:4" x14ac:dyDescent="0.3">
      <c r="A28" s="10" t="s">
        <v>34</v>
      </c>
      <c r="B28" s="10" t="s">
        <v>150</v>
      </c>
      <c r="C28" s="10" t="s">
        <v>151</v>
      </c>
      <c r="D28" s="10"/>
    </row>
    <row r="29" spans="1:4" x14ac:dyDescent="0.3">
      <c r="A29" s="10" t="s">
        <v>35</v>
      </c>
      <c r="B29" s="10" t="s">
        <v>150</v>
      </c>
      <c r="C29" s="10" t="s">
        <v>151</v>
      </c>
      <c r="D29" s="10"/>
    </row>
    <row r="30" spans="1:4" x14ac:dyDescent="0.3">
      <c r="A30" s="10" t="s">
        <v>36</v>
      </c>
      <c r="B30" s="10" t="s">
        <v>129</v>
      </c>
      <c r="C30" s="10" t="s">
        <v>130</v>
      </c>
      <c r="D30" s="10"/>
    </row>
    <row r="31" spans="1:4" x14ac:dyDescent="0.3">
      <c r="A31" s="10" t="s">
        <v>37</v>
      </c>
      <c r="B31" s="10" t="s">
        <v>129</v>
      </c>
      <c r="C31" s="10" t="s">
        <v>130</v>
      </c>
      <c r="D31" s="10"/>
    </row>
    <row r="32" spans="1:4" x14ac:dyDescent="0.3">
      <c r="A32" s="10" t="s">
        <v>38</v>
      </c>
      <c r="B32" s="10" t="s">
        <v>152</v>
      </c>
      <c r="C32" s="10" t="s">
        <v>153</v>
      </c>
      <c r="D32" s="10"/>
    </row>
    <row r="33" spans="1:4" x14ac:dyDescent="0.3">
      <c r="A33" s="10" t="s">
        <v>39</v>
      </c>
      <c r="B33" s="10" t="s">
        <v>154</v>
      </c>
      <c r="C33" s="10" t="s">
        <v>155</v>
      </c>
      <c r="D33" s="10"/>
    </row>
    <row r="34" spans="1:4" x14ac:dyDescent="0.3">
      <c r="A34" s="10" t="s">
        <v>40</v>
      </c>
      <c r="B34" s="10" t="s">
        <v>150</v>
      </c>
      <c r="C34" s="10" t="s">
        <v>151</v>
      </c>
      <c r="D34" s="10"/>
    </row>
    <row r="35" spans="1:4" x14ac:dyDescent="0.3">
      <c r="A35" s="10" t="s">
        <v>41</v>
      </c>
      <c r="B35" s="10" t="s">
        <v>124</v>
      </c>
      <c r="C35" s="10" t="s">
        <v>125</v>
      </c>
      <c r="D35" s="10"/>
    </row>
    <row r="36" spans="1:4" x14ac:dyDescent="0.3">
      <c r="A36" s="10" t="s">
        <v>44</v>
      </c>
      <c r="B36" s="10" t="s">
        <v>134</v>
      </c>
      <c r="C36" s="10" t="s">
        <v>135</v>
      </c>
      <c r="D36" s="10"/>
    </row>
    <row r="37" spans="1:4" x14ac:dyDescent="0.3">
      <c r="A37" s="10" t="s">
        <v>45</v>
      </c>
      <c r="B37" s="10" t="s">
        <v>147</v>
      </c>
      <c r="C37" s="10" t="s">
        <v>148</v>
      </c>
      <c r="D37" s="10"/>
    </row>
    <row r="38" spans="1:4" x14ac:dyDescent="0.3">
      <c r="A38" s="10" t="s">
        <v>48</v>
      </c>
      <c r="B38" s="10" t="s">
        <v>156</v>
      </c>
      <c r="C38" s="10" t="s">
        <v>157</v>
      </c>
      <c r="D38" s="10" t="s">
        <v>158</v>
      </c>
    </row>
    <row r="39" spans="1:4" x14ac:dyDescent="0.3">
      <c r="A39" s="10" t="s">
        <v>49</v>
      </c>
      <c r="B39" s="10" t="s">
        <v>156</v>
      </c>
      <c r="C39" s="10" t="s">
        <v>157</v>
      </c>
      <c r="D39" s="10"/>
    </row>
    <row r="40" spans="1:4" x14ac:dyDescent="0.3">
      <c r="A40" s="10" t="s">
        <v>51</v>
      </c>
      <c r="B40" s="10" t="s">
        <v>147</v>
      </c>
      <c r="C40" s="10" t="s">
        <v>148</v>
      </c>
      <c r="D40" s="10"/>
    </row>
    <row r="41" spans="1:4" x14ac:dyDescent="0.3">
      <c r="A41" s="10" t="s">
        <v>52</v>
      </c>
      <c r="B41" s="10" t="s">
        <v>147</v>
      </c>
      <c r="C41" s="10" t="s">
        <v>148</v>
      </c>
      <c r="D41" s="10"/>
    </row>
    <row r="42" spans="1:4" x14ac:dyDescent="0.3">
      <c r="A42" s="10" t="s">
        <v>53</v>
      </c>
      <c r="B42" s="10" t="s">
        <v>144</v>
      </c>
      <c r="C42" s="10" t="s">
        <v>145</v>
      </c>
      <c r="D42" s="10"/>
    </row>
    <row r="43" spans="1:4" x14ac:dyDescent="0.3">
      <c r="A43" s="10" t="s">
        <v>54</v>
      </c>
      <c r="B43" s="10" t="s">
        <v>122</v>
      </c>
      <c r="C43" s="10" t="s">
        <v>123</v>
      </c>
      <c r="D43" s="10"/>
    </row>
    <row r="44" spans="1:4" x14ac:dyDescent="0.3">
      <c r="A44" s="10" t="s">
        <v>55</v>
      </c>
      <c r="B44" s="10" t="s">
        <v>152</v>
      </c>
      <c r="C44" s="10" t="s">
        <v>153</v>
      </c>
      <c r="D44" s="10"/>
    </row>
    <row r="45" spans="1:4" x14ac:dyDescent="0.3">
      <c r="A45" s="10" t="s">
        <v>56</v>
      </c>
      <c r="B45" s="10" t="s">
        <v>154</v>
      </c>
      <c r="C45" s="10" t="s">
        <v>155</v>
      </c>
      <c r="D45" s="10"/>
    </row>
    <row r="46" spans="1:4" x14ac:dyDescent="0.3">
      <c r="A46" s="10" t="s">
        <v>57</v>
      </c>
      <c r="B46" s="10" t="s">
        <v>152</v>
      </c>
      <c r="C46" s="10" t="s">
        <v>153</v>
      </c>
      <c r="D46" s="10"/>
    </row>
    <row r="47" spans="1:4" x14ac:dyDescent="0.3">
      <c r="A47" s="10" t="s">
        <v>58</v>
      </c>
      <c r="B47" s="10" t="s">
        <v>159</v>
      </c>
      <c r="C47" s="10" t="s">
        <v>160</v>
      </c>
      <c r="D47" s="10"/>
    </row>
    <row r="48" spans="1:4" x14ac:dyDescent="0.3">
      <c r="A48" s="10" t="s">
        <v>59</v>
      </c>
      <c r="B48" s="10" t="s">
        <v>152</v>
      </c>
      <c r="C48" s="10" t="s">
        <v>153</v>
      </c>
      <c r="D48" s="10"/>
    </row>
    <row r="49" spans="1:4" x14ac:dyDescent="0.3">
      <c r="A49" s="10" t="s">
        <v>60</v>
      </c>
      <c r="B49" s="10" t="s">
        <v>161</v>
      </c>
      <c r="C49" s="10" t="s">
        <v>162</v>
      </c>
      <c r="D49" s="10" t="s">
        <v>163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레퍼런스 데이터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2026-02-23T02:45:37Z</dcterms:created>
  <dcterms:modified xsi:type="dcterms:W3CDTF">2026-02-26T11:05:42Z</dcterms:modified>
</cp:coreProperties>
</file>